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Данные" sheetId="2" state="visible" r:id="rId4"/>
    <sheet name="Динамика" sheetId="3" state="visible" r:id="rId5"/>
    <sheet name="Свод" sheetId="4" state="visible" r:id="rId6"/>
    <sheet name="Пороги решения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<sst xmlns="http://schemas.openxmlformats.org/spreadsheetml/2006/main" count="320" uniqueCount="225">
  <si>
    <t xml:space="preserve">Wordstat — оценка спроса, проект «Чита»</t>
  </si>
  <si>
    <t xml:space="preserve">Что это</t>
  </si>
  <si>
    <t xml:space="preserve">Шаблон для снятия частотности поисковых запросов и превращения её в решение по сегменту проекта. Заполняется вручную либо автоматически скриптом collect.py.</t>
  </si>
  <si>
    <t xml:space="preserve">НАСТРОЙКИ СБОРА</t>
  </si>
  <si>
    <t xml:space="preserve">Регионы</t>
  </si>
  <si>
    <t xml:space="preserve">Снимать по каждому запросу трижды: Чита (город), Забайкальский край, Иркутск (контроль). Без контрольного региона цифры не с чем сравнить.</t>
  </si>
  <si>
    <t xml:space="preserve">Период</t>
  </si>
  <si>
    <t xml:space="preserve">Последние 30 дней для частотности. Отдельно — 24 месяца помесячно на листе «Динамика».</t>
  </si>
  <si>
    <t xml:space="preserve">Соответствие</t>
  </si>
  <si>
    <t xml:space="preserve">Три колонки на регион: широкое, "фраза", "!точная !форма". Разрыв между широким и фразовым показывает долю мусора.</t>
  </si>
  <si>
    <t xml:space="preserve">Устройства</t>
  </si>
  <si>
    <t xml:space="preserve">Все. Отдельно мобайл снимать не нужно на этом этапе.</t>
  </si>
  <si>
    <t xml:space="preserve">ЧТО ЗАПОЛНЯТЬ</t>
  </si>
  <si>
    <t xml:space="preserve">Жёлтые ячейки</t>
  </si>
  <si>
    <t xml:space="preserve">Только их. Всё остальное — формулы, их не трогать.</t>
  </si>
  <si>
    <t xml:space="preserve">«Меньше 10»</t>
  </si>
  <si>
    <t xml:space="preserve">Ставить 0. Это не пропуск данных, а результат: по категорийным запросам ноль — главный вывод исследования.</t>
  </si>
  <si>
    <t xml:space="preserve">ПОРЯДОК РАБОТЫ</t>
  </si>
  <si>
    <t xml:space="preserve">1</t>
  </si>
  <si>
    <t xml:space="preserve">Заполнить лист «Данные» — все три региона.</t>
  </si>
  <si>
    <t xml:space="preserve">2</t>
  </si>
  <si>
    <t xml:space="preserve">Заполнить лист «Динамика» по 8 опорным запросам.</t>
  </si>
  <si>
    <t xml:space="preserve">3</t>
  </si>
  <si>
    <t xml:space="preserve">Открыть лист «Свод» — расчёты и вердикты появятся сами.</t>
  </si>
  <si>
    <t xml:space="preserve">4</t>
  </si>
  <si>
    <t xml:space="preserve">Прочитать лист «Пороги решения» и сверить с фактическими цифрами.</t>
  </si>
  <si>
    <t xml:space="preserve">5</t>
  </si>
  <si>
    <t xml:space="preserve">Повторить сбор через 3 и 6 месяцев в копии файла — динамика важнее среза.</t>
  </si>
  <si>
    <t xml:space="preserve">ВАЖНО ПРИ ЧТЕНИИ</t>
  </si>
  <si>
    <t xml:space="preserve">Экспозиция ≠ спрос</t>
  </si>
  <si>
    <t xml:space="preserve">Частотность показывает интерес, а не платёжеспособность. Сверять с данными Росреестра по фактическим сделкам.</t>
  </si>
  <si>
    <t xml:space="preserve">Низкий спрос ≠ нет рынка</t>
  </si>
  <si>
    <t xml:space="preserve">В категории без ментальной доступности поиска нет по определению. Ноль по блоку A означает «категорию надо создавать», а не «проект не нужен».</t>
  </si>
  <si>
    <t xml:space="preserve">Источник</t>
  </si>
  <si>
    <t xml:space="preserve">Yandex Wordstat, Wordstat API в составе Yandex Search API. Дата сбора обязательна — данные меняются.</t>
  </si>
  <si>
    <t xml:space="preserve">Дата сбора:</t>
  </si>
  <si>
    <t xml:space="preserve">Кто собирал:</t>
  </si>
  <si>
    <t xml:space="preserve">Блок</t>
  </si>
  <si>
    <t xml:space="preserve">Поисковый запрос</t>
  </si>
  <si>
    <t xml:space="preserve">Чита
широкое</t>
  </si>
  <si>
    <t xml:space="preserve">Чита
"фраза"</t>
  </si>
  <si>
    <t xml:space="preserve">Чита
"!точное"</t>
  </si>
  <si>
    <t xml:space="preserve">Забайкальский край
широкое</t>
  </si>
  <si>
    <t xml:space="preserve">Забайкальский край
"фраза"</t>
  </si>
  <si>
    <t xml:space="preserve">Иркутск
широкое</t>
  </si>
  <si>
    <t xml:space="preserve">Иркутск
"фраза"</t>
  </si>
  <si>
    <t xml:space="preserve">Комментарий</t>
  </si>
  <si>
    <t xml:space="preserve">A. Категория</t>
  </si>
  <si>
    <t xml:space="preserve">коттеджный поселок чита</t>
  </si>
  <si>
    <t xml:space="preserve">коттеджные поселки читы</t>
  </si>
  <si>
    <t xml:space="preserve">поселок бизнес класса чита</t>
  </si>
  <si>
    <t xml:space="preserve">закрытый поселок чита</t>
  </si>
  <si>
    <t xml:space="preserve">организованный коттеджный поселок чита</t>
  </si>
  <si>
    <t xml:space="preserve">таунхаус чита</t>
  </si>
  <si>
    <t xml:space="preserve">загородная недвижимость чита</t>
  </si>
  <si>
    <t xml:space="preserve">загородный поселок забайкальский край</t>
  </si>
  <si>
    <t xml:space="preserve">B. Продукт</t>
  </si>
  <si>
    <t xml:space="preserve">купить дом чита</t>
  </si>
  <si>
    <t xml:space="preserve">купить дом в чите с участком</t>
  </si>
  <si>
    <t xml:space="preserve">дом чита пригород</t>
  </si>
  <si>
    <t xml:space="preserve">готовый дом под ключ чита</t>
  </si>
  <si>
    <t xml:space="preserve">дом 150 кв м чита</t>
  </si>
  <si>
    <t xml:space="preserve">дом 200 кв м чита</t>
  </si>
  <si>
    <t xml:space="preserve">одноэтажный дом купить чита</t>
  </si>
  <si>
    <t xml:space="preserve">дом с гаражом чита</t>
  </si>
  <si>
    <t xml:space="preserve">дом с баней купить чита</t>
  </si>
  <si>
    <t xml:space="preserve">новый дом купить чита</t>
  </si>
  <si>
    <t xml:space="preserve">дом от застройщика чита</t>
  </si>
  <si>
    <t xml:space="preserve">C. Земля</t>
  </si>
  <si>
    <t xml:space="preserve">купить участок чита</t>
  </si>
  <si>
    <t xml:space="preserve">участок ижс чита</t>
  </si>
  <si>
    <t xml:space="preserve">земельный участок чита купить</t>
  </si>
  <si>
    <t xml:space="preserve">участок 10 соток чита</t>
  </si>
  <si>
    <t xml:space="preserve">участок под строительство дома чита</t>
  </si>
  <si>
    <t xml:space="preserve">дальневосточный гектар чита участок</t>
  </si>
  <si>
    <t xml:space="preserve">участок с коммуникациями чита</t>
  </si>
  <si>
    <t xml:space="preserve">D. География</t>
  </si>
  <si>
    <t xml:space="preserve">дом карповка</t>
  </si>
  <si>
    <t xml:space="preserve">участок карповка</t>
  </si>
  <si>
    <t xml:space="preserve">дом смоленка чита</t>
  </si>
  <si>
    <t xml:space="preserve">участок смоленка</t>
  </si>
  <si>
    <t xml:space="preserve">дом засопка</t>
  </si>
  <si>
    <t xml:space="preserve">участок засопка</t>
  </si>
  <si>
    <t xml:space="preserve">дом атамановка</t>
  </si>
  <si>
    <t xml:space="preserve">дом угдан</t>
  </si>
  <si>
    <t xml:space="preserve">дом кадала</t>
  </si>
  <si>
    <t xml:space="preserve">дом преображенка чита</t>
  </si>
  <si>
    <t xml:space="preserve">дом иван озеро</t>
  </si>
  <si>
    <t xml:space="preserve">дом каштак чита</t>
  </si>
  <si>
    <t xml:space="preserve">дом верх чита</t>
  </si>
  <si>
    <t xml:space="preserve">дом застепь</t>
  </si>
  <si>
    <t xml:space="preserve">E. Финансовые триггеры</t>
  </si>
  <si>
    <t xml:space="preserve">дальневосточная ипотека чита</t>
  </si>
  <si>
    <t xml:space="preserve">дальневосточная ипотека на строительство дома</t>
  </si>
  <si>
    <t xml:space="preserve">дальневосточная ипотека дом</t>
  </si>
  <si>
    <t xml:space="preserve">ипотека на дом чита</t>
  </si>
  <si>
    <t xml:space="preserve">ипотека ижс чита</t>
  </si>
  <si>
    <t xml:space="preserve">ипотека на строительство дома забайкальский край</t>
  </si>
  <si>
    <t xml:space="preserve">семейная ипотека дом чита</t>
  </si>
  <si>
    <t xml:space="preserve">ипотека 2 процента чита</t>
  </si>
  <si>
    <t xml:space="preserve">дальневосточный гектар забайкальский край</t>
  </si>
  <si>
    <t xml:space="preserve">F. Самострой и подряд</t>
  </si>
  <si>
    <t xml:space="preserve">построить дом чита</t>
  </si>
  <si>
    <t xml:space="preserve">строительство домов чита</t>
  </si>
  <si>
    <t xml:space="preserve">строительство домов под ключ чита</t>
  </si>
  <si>
    <t xml:space="preserve">проект дома чита</t>
  </si>
  <si>
    <t xml:space="preserve">каркасный дом чита</t>
  </si>
  <si>
    <t xml:space="preserve">дом из бруса чита</t>
  </si>
  <si>
    <t xml:space="preserve">дом из клееного бруса чита</t>
  </si>
  <si>
    <t xml:space="preserve">кирпичный дом строительство чита</t>
  </si>
  <si>
    <t xml:space="preserve">строительная компания чита дома</t>
  </si>
  <si>
    <t xml:space="preserve">цена за квадратный метр дом чита</t>
  </si>
  <si>
    <t xml:space="preserve">G. Боли и JTBD</t>
  </si>
  <si>
    <t xml:space="preserve">скважина на воду чита</t>
  </si>
  <si>
    <t xml:space="preserve">бурение скважин чита цена</t>
  </si>
  <si>
    <t xml:space="preserve">очистка воды чита</t>
  </si>
  <si>
    <t xml:space="preserve">фильтр для воды чита</t>
  </si>
  <si>
    <t xml:space="preserve">жесткая вода чита</t>
  </si>
  <si>
    <t xml:space="preserve">качество воды чита</t>
  </si>
  <si>
    <t xml:space="preserve">септик чита</t>
  </si>
  <si>
    <t xml:space="preserve">отопление дома чита</t>
  </si>
  <si>
    <t xml:space="preserve">газгольдер чита</t>
  </si>
  <si>
    <t xml:space="preserve">газификация чита</t>
  </si>
  <si>
    <t xml:space="preserve">H. Городская альтернатива</t>
  </si>
  <si>
    <t xml:space="preserve">купить квартиру чита</t>
  </si>
  <si>
    <t xml:space="preserve">солнечный город чита</t>
  </si>
  <si>
    <t xml:space="preserve">жк чита новостройки</t>
  </si>
  <si>
    <t xml:space="preserve">квартира 100 кв м чита</t>
  </si>
  <si>
    <t xml:space="preserve">пентхаус чита</t>
  </si>
  <si>
    <t xml:space="preserve">дорогая квартира чита</t>
  </si>
  <si>
    <t xml:space="preserve">I. Отток капитала</t>
  </si>
  <si>
    <t xml:space="preserve">купить квартиру иркутск</t>
  </si>
  <si>
    <t xml:space="preserve">купить квартиру новосибирск</t>
  </si>
  <si>
    <t xml:space="preserve">купить квартиру сочи</t>
  </si>
  <si>
    <t xml:space="preserve">купить квартиру москва</t>
  </si>
  <si>
    <t xml:space="preserve">недвижимость китай купить</t>
  </si>
  <si>
    <t xml:space="preserve">J. Бренды конкурентов</t>
  </si>
  <si>
    <t xml:space="preserve">экопарк хвойный чита</t>
  </si>
  <si>
    <t xml:space="preserve">экопарк хвойный</t>
  </si>
  <si>
    <t xml:space="preserve">солар чита поселок</t>
  </si>
  <si>
    <t xml:space="preserve">ПРИМЕР заполнения (удалить):</t>
  </si>
  <si>
    <t xml:space="preserve">«Меньше 10» ставить как 0</t>
  </si>
  <si>
    <t xml:space="preserve">Помесячная динамика, регион Чита, 24 месяца</t>
  </si>
  <si>
    <t xml:space="preserve">Месяц</t>
  </si>
  <si>
    <t xml:space="preserve">09.2024</t>
  </si>
  <si>
    <t xml:space="preserve">10.2024</t>
  </si>
  <si>
    <t xml:space="preserve">11.2024</t>
  </si>
  <si>
    <t xml:space="preserve">12.2024</t>
  </si>
  <si>
    <t xml:space="preserve">01.2025</t>
  </si>
  <si>
    <t xml:space="preserve">02.2025</t>
  </si>
  <si>
    <t xml:space="preserve">03.2025</t>
  </si>
  <si>
    <t xml:space="preserve">04.2025</t>
  </si>
  <si>
    <t xml:space="preserve">05.2025</t>
  </si>
  <si>
    <t xml:space="preserve">06.2025</t>
  </si>
  <si>
    <t xml:space="preserve">07.2025</t>
  </si>
  <si>
    <t xml:space="preserve">08.2025</t>
  </si>
  <si>
    <t xml:space="preserve">09.2025</t>
  </si>
  <si>
    <t xml:space="preserve">10.2025</t>
  </si>
  <si>
    <t xml:space="preserve">11.2025</t>
  </si>
  <si>
    <t xml:space="preserve">12.2025</t>
  </si>
  <si>
    <t xml:space="preserve">01.2026</t>
  </si>
  <si>
    <t xml:space="preserve">02.2026</t>
  </si>
  <si>
    <t xml:space="preserve">03.2026</t>
  </si>
  <si>
    <t xml:space="preserve">04.2026</t>
  </si>
  <si>
    <t xml:space="preserve">05.2026</t>
  </si>
  <si>
    <t xml:space="preserve">06.2026</t>
  </si>
  <si>
    <t xml:space="preserve">07.2026</t>
  </si>
  <si>
    <t xml:space="preserve">08.2026</t>
  </si>
  <si>
    <t xml:space="preserve">Среднее</t>
  </si>
  <si>
    <t xml:space="preserve">Пик</t>
  </si>
  <si>
    <t xml:space="preserve">Мин</t>
  </si>
  <si>
    <t xml:space="preserve">Сезонный размах</t>
  </si>
  <si>
    <t xml:space="preserve">Год к году, %</t>
  </si>
  <si>
    <t xml:space="preserve">Сезонный размах ниже 1,5x по загородным запросам — признак того, что выраженного сезона нет, то есть спроса как явления тоже.</t>
  </si>
  <si>
    <t xml:space="preserve">Свод по блокам</t>
  </si>
  <si>
    <t xml:space="preserve">Все значения — формулы с листа «Данные». Заполнять здесь ничего не нужно.</t>
  </si>
  <si>
    <t xml:space="preserve">Край
широкое</t>
  </si>
  <si>
    <t xml:space="preserve">Чита / Иркутск</t>
  </si>
  <si>
    <t xml:space="preserve">Что это значит</t>
  </si>
  <si>
    <t xml:space="preserve">Прямой замер mental availability. Если близко к нулю — категории в голове рынка нет.</t>
  </si>
  <si>
    <t xml:space="preserve">Реальный спрос на дом. Основной источник трафика на старте.</t>
  </si>
  <si>
    <t xml:space="preserve">Конкурент №1 по бюджету: купить участок и строить самому.</t>
  </si>
  <si>
    <t xml:space="preserve">Проверка локации. Сравнить Карповку со Смоленкой и Засопкой.</t>
  </si>
  <si>
    <t xml:space="preserve">Опережающий индикатор намерения. Рост = формируется платёжеспособный спрос.</t>
  </si>
  <si>
    <t xml:space="preserve">Объём альтернативы «сделаю сам». Чем выше, тем сильнее надо обосновывать цену.</t>
  </si>
  <si>
    <t xml:space="preserve">Проверка маркетинговых аргументов цифрой, а не гипотезой.</t>
  </si>
  <si>
    <t xml:space="preserve">Конкуренция за тот же бюджет внутри города.</t>
  </si>
  <si>
    <t xml:space="preserve">Сильнейший конкурент: деньги уезжают. Сравнивать с блоком B.</t>
  </si>
  <si>
    <t xml:space="preserve">Baseline для будущего замера собственного бренда.</t>
  </si>
  <si>
    <t xml:space="preserve">ИТОГО</t>
  </si>
  <si>
    <t xml:space="preserve">Ключевые соотношения и вердикты</t>
  </si>
  <si>
    <t xml:space="preserve">Показатель</t>
  </si>
  <si>
    <t xml:space="preserve">Значение</t>
  </si>
  <si>
    <t xml:space="preserve">Вердикт</t>
  </si>
  <si>
    <t xml:space="preserve">Объём категории (блок A), Чита + край</t>
  </si>
  <si>
    <t xml:space="preserve">Продукт / Категория</t>
  </si>
  <si>
    <t xml:space="preserve">Земля + Самострой / Продукт</t>
  </si>
  <si>
    <t xml:space="preserve">Ипотечные триггеры / Продукт</t>
  </si>
  <si>
    <t xml:space="preserve">Отток капитала / Продукт</t>
  </si>
  <si>
    <t xml:space="preserve">Карповка / Смоленка (широкое)</t>
  </si>
  <si>
    <t xml:space="preserve">Пороги в формулах — экспертная оценка для города размера Читы, а не отраслевой стандарт. Их следует пересмотреть после первого сбора.</t>
  </si>
  <si>
    <t xml:space="preserve">Как читать результат</t>
  </si>
  <si>
    <t xml:space="preserve">Что видите</t>
  </si>
  <si>
    <t xml:space="preserve">Что это значит для проекта</t>
  </si>
  <si>
    <t xml:space="preserve">Блок A суммарно менее 300/мес по краю</t>
  </si>
  <si>
    <t xml:space="preserve">Категории не существует. Первый год бюджета уходит на её создание, перформанс-каналы не работают. Это аргумент в пользу того, что вы заходите первым.</t>
  </si>
  <si>
    <t xml:space="preserve">Блок B в 10+ раз больше блока A</t>
  </si>
  <si>
    <t xml:space="preserve">Рынок ищет дом, а не посёлок. Продавать нужно дом, среду отдавать как бонус в креативе.</t>
  </si>
  <si>
    <t xml:space="preserve">Блок E растёт год к году</t>
  </si>
  <si>
    <t xml:space="preserve">Платёжеспособный спрос формируется ипотекой. Ядро линейки — под лимит ДВ-ипотеки: 9 млн кредита при площади от 60 кв.м, объект до 11,25 млн.</t>
  </si>
  <si>
    <t xml:space="preserve">Блок I сопоставим с блоком B</t>
  </si>
  <si>
    <t xml:space="preserve">Отток капитала реален. Ёмкость верхнего сегмента ещё меньше расчётной, гипотезу 35–40 млн вычёркивать.</t>
  </si>
  <si>
    <t xml:space="preserve">Карповка заметно ниже Смоленки и Засопки</t>
  </si>
  <si>
    <t xml:space="preserve">Локация не в зоне внимания рынка. Придётся закладывать бюджет на её «открытие» — отдельная статья затрат и отдельный срок продаж.</t>
  </si>
  <si>
    <t xml:space="preserve">Блоки C и F вместе больше блока B</t>
  </si>
  <si>
    <t xml:space="preserve">Доминирует сценарий самостроя. Продукт обязан объяснять переплату к варианту «купил участок за 1,4 млн и построил за 12».</t>
  </si>
  <si>
    <t xml:space="preserve">Блок G: высокая частотность по воде</t>
  </si>
  <si>
    <t xml:space="preserve">Водная боль подтверждена. Водоподготовка идёт в оффер первым аргументом, а не строчкой в спецификации.</t>
  </si>
  <si>
    <t xml:space="preserve">Чего эти данные НЕ показывают</t>
  </si>
  <si>
    <t xml:space="preserve">Платёжеспособность</t>
  </si>
  <si>
    <t xml:space="preserve">Частотность измеряет интерес, а не деньги. Сверять с количеством сделок по данным Росреестра.</t>
  </si>
  <si>
    <t xml:space="preserve">Сделки вне площадок</t>
  </si>
  <si>
    <t xml:space="preserve">В городах размера Читы дорогие сделки идут через знакомых и подрядчика. Верхний сегмент может быть невидим и в поиске, и на Авито.</t>
  </si>
  <si>
    <t xml:space="preserve">Будущий спрос</t>
  </si>
  <si>
    <t xml:space="preserve">Wordstat показывает прошлое. Для проекта со сроком реализации 3–5 лет это только отправная точка.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</si>
</sst>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\x"/>
    <numFmt numFmtId="167" formatCode="0.0%"/>
    <numFmt numFmtId="168" formatCode="0.00"/>
    <numFmt numFmtId="169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453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F453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2F4538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D6"/>
        <bgColor rgb="FFFFFFFF"/>
      </patternFill>
    </fill>
    <fill>
      <patternFill patternType="solid">
        <fgColor rgb="FF2F4538"/>
        <bgColor rgb="FF333300"/>
      </patternFill>
    </fill>
    <fill>
      <patternFill patternType="solid">
        <fgColor rgb="FFDCE4DE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9D6"/>
      <rgbColor rgb="FFCCFFFF"/>
      <rgbColor rgb="FF660066"/>
      <rgbColor rgb="FFFF8080"/>
      <rgbColor rgb="FF0066CC"/>
      <rgbColor rgb="FFDCE4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5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86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  <c r="C3" s="3"/>
    </row>
    <row r="4" customFormat="false" ht="23.8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/>
      <c r="C5" s="3"/>
    </row>
    <row r="6" customFormat="false" ht="15" hidden="false" customHeight="false" outlineLevel="0" collapsed="false">
      <c r="B6" s="4" t="s">
        <v>3</v>
      </c>
    </row>
    <row r="7" customFormat="false" ht="23.85" hidden="false" customHeight="false" outlineLevel="0" collapsed="false">
      <c r="B7" s="2" t="s">
        <v>4</v>
      </c>
      <c r="C7" s="3" t="s">
        <v>5</v>
      </c>
    </row>
    <row r="8" customFormat="false" ht="15" hidden="false" customHeight="false" outlineLevel="0" collapsed="false">
      <c r="B8" s="2" t="s">
        <v>6</v>
      </c>
      <c r="C8" s="3" t="s">
        <v>7</v>
      </c>
    </row>
    <row r="9" customFormat="false" ht="23.85" hidden="false" customHeight="false" outlineLevel="0" collapsed="false">
      <c r="B9" s="2" t="s">
        <v>8</v>
      </c>
      <c r="C9" s="3" t="s">
        <v>9</v>
      </c>
    </row>
    <row r="10" customFormat="false" ht="15" hidden="false" customHeight="false" outlineLevel="0" collapsed="false">
      <c r="B10" s="2" t="s">
        <v>10</v>
      </c>
      <c r="C10" s="3" t="s">
        <v>11</v>
      </c>
    </row>
    <row r="11" customFormat="false" ht="15" hidden="false" customHeight="false" outlineLevel="0" collapsed="false">
      <c r="B11" s="2"/>
      <c r="C11" s="3"/>
    </row>
    <row r="12" customFormat="false" ht="15" hidden="false" customHeight="false" outlineLevel="0" collapsed="false">
      <c r="B12" s="4" t="s">
        <v>12</v>
      </c>
    </row>
    <row r="13" customFormat="false" ht="15" hidden="false" customHeight="false" outlineLevel="0" collapsed="false">
      <c r="B13" s="2" t="s">
        <v>13</v>
      </c>
      <c r="C13" s="3" t="s">
        <v>14</v>
      </c>
    </row>
    <row r="14" customFormat="false" ht="23.85" hidden="false" customHeight="false" outlineLevel="0" collapsed="false">
      <c r="B14" s="2" t="s">
        <v>15</v>
      </c>
      <c r="C14" s="3" t="s">
        <v>16</v>
      </c>
    </row>
    <row r="15" customFormat="false" ht="15" hidden="false" customHeight="false" outlineLevel="0" collapsed="false">
      <c r="B15" s="2"/>
      <c r="C15" s="3"/>
    </row>
    <row r="16" customFormat="false" ht="15" hidden="false" customHeight="false" outlineLevel="0" collapsed="false">
      <c r="B16" s="4" t="s">
        <v>17</v>
      </c>
    </row>
    <row r="17" customFormat="false" ht="15" hidden="false" customHeight="false" outlineLevel="0" collapsed="false">
      <c r="B17" s="2" t="s">
        <v>18</v>
      </c>
      <c r="C17" s="3" t="s">
        <v>19</v>
      </c>
    </row>
    <row r="18" customFormat="false" ht="15" hidden="false" customHeight="false" outlineLevel="0" collapsed="false">
      <c r="B18" s="2" t="s">
        <v>20</v>
      </c>
      <c r="C18" s="3" t="s">
        <v>21</v>
      </c>
    </row>
    <row r="19" customFormat="false" ht="15" hidden="false" customHeight="false" outlineLevel="0" collapsed="false">
      <c r="B19" s="2" t="s">
        <v>22</v>
      </c>
      <c r="C19" s="3" t="s">
        <v>23</v>
      </c>
    </row>
    <row r="20" customFormat="false" ht="15" hidden="false" customHeight="false" outlineLevel="0" collapsed="false">
      <c r="B20" s="2" t="s">
        <v>24</v>
      </c>
      <c r="C20" s="3" t="s">
        <v>25</v>
      </c>
    </row>
    <row r="21" customFormat="false" ht="15" hidden="false" customHeight="false" outlineLevel="0" collapsed="false">
      <c r="B21" s="2" t="s">
        <v>26</v>
      </c>
      <c r="C21" s="3" t="s">
        <v>27</v>
      </c>
    </row>
    <row r="22" customFormat="false" ht="15" hidden="false" customHeight="false" outlineLevel="0" collapsed="false">
      <c r="B22" s="2"/>
      <c r="C22" s="3"/>
    </row>
    <row r="23" customFormat="false" ht="15" hidden="false" customHeight="false" outlineLevel="0" collapsed="false">
      <c r="B23" s="4" t="s">
        <v>28</v>
      </c>
    </row>
    <row r="24" customFormat="false" ht="23.85" hidden="false" customHeight="false" outlineLevel="0" collapsed="false">
      <c r="B24" s="2" t="s">
        <v>29</v>
      </c>
      <c r="C24" s="3" t="s">
        <v>30</v>
      </c>
    </row>
    <row r="25" customFormat="false" ht="23.85" hidden="false" customHeight="false" outlineLevel="0" collapsed="false">
      <c r="B25" s="2" t="s">
        <v>31</v>
      </c>
      <c r="C25" s="3" t="s">
        <v>32</v>
      </c>
    </row>
    <row r="26" customFormat="false" ht="23.85" hidden="false" customHeight="false" outlineLevel="0" collapsed="false">
      <c r="B26" s="2" t="s">
        <v>33</v>
      </c>
      <c r="C26" s="3" t="s">
        <v>34</v>
      </c>
    </row>
    <row r="28" customFormat="false" ht="15" hidden="false" customHeight="false" outlineLevel="0" collapsed="false">
      <c r="B28" s="2" t="s">
        <v>35</v>
      </c>
      <c r="C28" s="5"/>
    </row>
    <row r="29" customFormat="false" ht="15" hidden="false" customHeight="false" outlineLevel="0" collapsed="false">
      <c r="B29" s="2" t="s">
        <v>36</v>
      </c>
      <c r="C2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5" min="3" style="0" width="12"/>
    <col collapsed="false" customWidth="true" hidden="false" outlineLevel="0" max="7" min="6" style="0" width="16"/>
    <col collapsed="false" customWidth="true" hidden="false" outlineLevel="0" max="9" min="8" style="0" width="12"/>
    <col collapsed="false" customWidth="true" hidden="false" outlineLevel="0" max="10" min="10" style="0" width="30"/>
  </cols>
  <sheetData>
    <row r="1" customFormat="false" ht="42" hidden="false" customHeight="true" outlineLevel="0" collapsed="false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6" t="s">
        <v>46</v>
      </c>
    </row>
    <row r="2" customFormat="false" ht="15" hidden="false" customHeight="false" outlineLevel="0" collapsed="false">
      <c r="A2" s="7" t="s">
        <v>47</v>
      </c>
      <c r="B2" s="8" t="s">
        <v>48</v>
      </c>
      <c r="C2" s="9"/>
      <c r="D2" s="9"/>
      <c r="E2" s="9"/>
      <c r="F2" s="9"/>
      <c r="G2" s="9"/>
      <c r="H2" s="9"/>
      <c r="I2" s="9"/>
      <c r="J2" s="10"/>
    </row>
    <row r="3" customFormat="false" ht="15" hidden="false" customHeight="false" outlineLevel="0" collapsed="false">
      <c r="A3" s="7" t="s">
        <v>47</v>
      </c>
      <c r="B3" s="8" t="s">
        <v>49</v>
      </c>
      <c r="C3" s="9"/>
      <c r="D3" s="9"/>
      <c r="E3" s="9"/>
      <c r="F3" s="9"/>
      <c r="G3" s="9"/>
      <c r="H3" s="9"/>
      <c r="I3" s="9"/>
      <c r="J3" s="10"/>
    </row>
    <row r="4" customFormat="false" ht="15" hidden="false" customHeight="false" outlineLevel="0" collapsed="false">
      <c r="A4" s="7" t="s">
        <v>47</v>
      </c>
      <c r="B4" s="8" t="s">
        <v>50</v>
      </c>
      <c r="C4" s="9"/>
      <c r="D4" s="9"/>
      <c r="E4" s="9"/>
      <c r="F4" s="9"/>
      <c r="G4" s="9"/>
      <c r="H4" s="9"/>
      <c r="I4" s="9"/>
      <c r="J4" s="10"/>
    </row>
    <row r="5" customFormat="false" ht="15" hidden="false" customHeight="false" outlineLevel="0" collapsed="false">
      <c r="A5" s="7" t="s">
        <v>47</v>
      </c>
      <c r="B5" s="8" t="s">
        <v>51</v>
      </c>
      <c r="C5" s="9"/>
      <c r="D5" s="9"/>
      <c r="E5" s="9"/>
      <c r="F5" s="9"/>
      <c r="G5" s="9"/>
      <c r="H5" s="9"/>
      <c r="I5" s="9"/>
      <c r="J5" s="10"/>
    </row>
    <row r="6" customFormat="false" ht="15" hidden="false" customHeight="false" outlineLevel="0" collapsed="false">
      <c r="A6" s="7" t="s">
        <v>47</v>
      </c>
      <c r="B6" s="8" t="s">
        <v>52</v>
      </c>
      <c r="C6" s="9"/>
      <c r="D6" s="9"/>
      <c r="E6" s="9"/>
      <c r="F6" s="9"/>
      <c r="G6" s="9"/>
      <c r="H6" s="9"/>
      <c r="I6" s="9"/>
      <c r="J6" s="10"/>
    </row>
    <row r="7" customFormat="false" ht="15" hidden="false" customHeight="false" outlineLevel="0" collapsed="false">
      <c r="A7" s="7" t="s">
        <v>47</v>
      </c>
      <c r="B7" s="8" t="s">
        <v>53</v>
      </c>
      <c r="C7" s="9"/>
      <c r="D7" s="9"/>
      <c r="E7" s="9"/>
      <c r="F7" s="9"/>
      <c r="G7" s="9"/>
      <c r="H7" s="9"/>
      <c r="I7" s="9"/>
      <c r="J7" s="10"/>
    </row>
    <row r="8" customFormat="false" ht="15" hidden="false" customHeight="false" outlineLevel="0" collapsed="false">
      <c r="A8" s="7" t="s">
        <v>47</v>
      </c>
      <c r="B8" s="8" t="s">
        <v>54</v>
      </c>
      <c r="C8" s="9"/>
      <c r="D8" s="9"/>
      <c r="E8" s="9"/>
      <c r="F8" s="9"/>
      <c r="G8" s="9"/>
      <c r="H8" s="9"/>
      <c r="I8" s="9"/>
      <c r="J8" s="10"/>
    </row>
    <row r="9" customFormat="false" ht="15" hidden="false" customHeight="false" outlineLevel="0" collapsed="false">
      <c r="A9" s="7" t="s">
        <v>47</v>
      </c>
      <c r="B9" s="8" t="s">
        <v>55</v>
      </c>
      <c r="C9" s="9"/>
      <c r="D9" s="9"/>
      <c r="E9" s="9"/>
      <c r="F9" s="9"/>
      <c r="G9" s="9"/>
      <c r="H9" s="9"/>
      <c r="I9" s="9"/>
      <c r="J9" s="10"/>
    </row>
    <row r="10" customFormat="false" ht="15" hidden="false" customHeight="false" outlineLevel="0" collapsed="false">
      <c r="A10" s="7" t="s">
        <v>56</v>
      </c>
      <c r="B10" s="8" t="s">
        <v>57</v>
      </c>
      <c r="C10" s="9"/>
      <c r="D10" s="9"/>
      <c r="E10" s="9"/>
      <c r="F10" s="9"/>
      <c r="G10" s="9"/>
      <c r="H10" s="9"/>
      <c r="I10" s="9"/>
      <c r="J10" s="10"/>
    </row>
    <row r="11" customFormat="false" ht="15" hidden="false" customHeight="false" outlineLevel="0" collapsed="false">
      <c r="A11" s="7" t="s">
        <v>56</v>
      </c>
      <c r="B11" s="8" t="s">
        <v>58</v>
      </c>
      <c r="C11" s="9"/>
      <c r="D11" s="9"/>
      <c r="E11" s="9"/>
      <c r="F11" s="9"/>
      <c r="G11" s="9"/>
      <c r="H11" s="9"/>
      <c r="I11" s="9"/>
      <c r="J11" s="10"/>
    </row>
    <row r="12" customFormat="false" ht="15" hidden="false" customHeight="false" outlineLevel="0" collapsed="false">
      <c r="A12" s="7" t="s">
        <v>56</v>
      </c>
      <c r="B12" s="8" t="s">
        <v>59</v>
      </c>
      <c r="C12" s="9"/>
      <c r="D12" s="9"/>
      <c r="E12" s="9"/>
      <c r="F12" s="9"/>
      <c r="G12" s="9"/>
      <c r="H12" s="9"/>
      <c r="I12" s="9"/>
      <c r="J12" s="10"/>
    </row>
    <row r="13" customFormat="false" ht="15" hidden="false" customHeight="false" outlineLevel="0" collapsed="false">
      <c r="A13" s="7" t="s">
        <v>56</v>
      </c>
      <c r="B13" s="8" t="s">
        <v>60</v>
      </c>
      <c r="C13" s="9"/>
      <c r="D13" s="9"/>
      <c r="E13" s="9"/>
      <c r="F13" s="9"/>
      <c r="G13" s="9"/>
      <c r="H13" s="9"/>
      <c r="I13" s="9"/>
      <c r="J13" s="10"/>
    </row>
    <row r="14" customFormat="false" ht="15" hidden="false" customHeight="false" outlineLevel="0" collapsed="false">
      <c r="A14" s="7" t="s">
        <v>56</v>
      </c>
      <c r="B14" s="8" t="s">
        <v>61</v>
      </c>
      <c r="C14" s="9"/>
      <c r="D14" s="9"/>
      <c r="E14" s="9"/>
      <c r="F14" s="9"/>
      <c r="G14" s="9"/>
      <c r="H14" s="9"/>
      <c r="I14" s="9"/>
      <c r="J14" s="10"/>
    </row>
    <row r="15" customFormat="false" ht="15" hidden="false" customHeight="false" outlineLevel="0" collapsed="false">
      <c r="A15" s="7" t="s">
        <v>56</v>
      </c>
      <c r="B15" s="8" t="s">
        <v>62</v>
      </c>
      <c r="C15" s="9"/>
      <c r="D15" s="9"/>
      <c r="E15" s="9"/>
      <c r="F15" s="9"/>
      <c r="G15" s="9"/>
      <c r="H15" s="9"/>
      <c r="I15" s="9"/>
      <c r="J15" s="10"/>
    </row>
    <row r="16" customFormat="false" ht="15" hidden="false" customHeight="false" outlineLevel="0" collapsed="false">
      <c r="A16" s="7" t="s">
        <v>56</v>
      </c>
      <c r="B16" s="8" t="s">
        <v>63</v>
      </c>
      <c r="C16" s="9"/>
      <c r="D16" s="9"/>
      <c r="E16" s="9"/>
      <c r="F16" s="9"/>
      <c r="G16" s="9"/>
      <c r="H16" s="9"/>
      <c r="I16" s="9"/>
      <c r="J16" s="10"/>
    </row>
    <row r="17" customFormat="false" ht="15" hidden="false" customHeight="false" outlineLevel="0" collapsed="false">
      <c r="A17" s="7" t="s">
        <v>56</v>
      </c>
      <c r="B17" s="8" t="s">
        <v>64</v>
      </c>
      <c r="C17" s="9"/>
      <c r="D17" s="9"/>
      <c r="E17" s="9"/>
      <c r="F17" s="9"/>
      <c r="G17" s="9"/>
      <c r="H17" s="9"/>
      <c r="I17" s="9"/>
      <c r="J17" s="10"/>
    </row>
    <row r="18" customFormat="false" ht="15" hidden="false" customHeight="false" outlineLevel="0" collapsed="false">
      <c r="A18" s="7" t="s">
        <v>56</v>
      </c>
      <c r="B18" s="8" t="s">
        <v>65</v>
      </c>
      <c r="C18" s="9"/>
      <c r="D18" s="9"/>
      <c r="E18" s="9"/>
      <c r="F18" s="9"/>
      <c r="G18" s="9"/>
      <c r="H18" s="9"/>
      <c r="I18" s="9"/>
      <c r="J18" s="10"/>
    </row>
    <row r="19" customFormat="false" ht="15" hidden="false" customHeight="false" outlineLevel="0" collapsed="false">
      <c r="A19" s="7" t="s">
        <v>56</v>
      </c>
      <c r="B19" s="8" t="s">
        <v>66</v>
      </c>
      <c r="C19" s="9"/>
      <c r="D19" s="9"/>
      <c r="E19" s="9"/>
      <c r="F19" s="9"/>
      <c r="G19" s="9"/>
      <c r="H19" s="9"/>
      <c r="I19" s="9"/>
      <c r="J19" s="10"/>
    </row>
    <row r="20" customFormat="false" ht="15" hidden="false" customHeight="false" outlineLevel="0" collapsed="false">
      <c r="A20" s="7" t="s">
        <v>56</v>
      </c>
      <c r="B20" s="8" t="s">
        <v>67</v>
      </c>
      <c r="C20" s="9"/>
      <c r="D20" s="9"/>
      <c r="E20" s="9"/>
      <c r="F20" s="9"/>
      <c r="G20" s="9"/>
      <c r="H20" s="9"/>
      <c r="I20" s="9"/>
      <c r="J20" s="10"/>
    </row>
    <row r="21" customFormat="false" ht="15" hidden="false" customHeight="false" outlineLevel="0" collapsed="false">
      <c r="A21" s="7" t="s">
        <v>68</v>
      </c>
      <c r="B21" s="8" t="s">
        <v>69</v>
      </c>
      <c r="C21" s="9"/>
      <c r="D21" s="9"/>
      <c r="E21" s="9"/>
      <c r="F21" s="9"/>
      <c r="G21" s="9"/>
      <c r="H21" s="9"/>
      <c r="I21" s="9"/>
      <c r="J21" s="10"/>
    </row>
    <row r="22" customFormat="false" ht="15" hidden="false" customHeight="false" outlineLevel="0" collapsed="false">
      <c r="A22" s="7" t="s">
        <v>68</v>
      </c>
      <c r="B22" s="8" t="s">
        <v>70</v>
      </c>
      <c r="C22" s="9"/>
      <c r="D22" s="9"/>
      <c r="E22" s="9"/>
      <c r="F22" s="9"/>
      <c r="G22" s="9"/>
      <c r="H22" s="9"/>
      <c r="I22" s="9"/>
      <c r="J22" s="10"/>
    </row>
    <row r="23" customFormat="false" ht="15" hidden="false" customHeight="false" outlineLevel="0" collapsed="false">
      <c r="A23" s="7" t="s">
        <v>68</v>
      </c>
      <c r="B23" s="8" t="s">
        <v>71</v>
      </c>
      <c r="C23" s="9"/>
      <c r="D23" s="9"/>
      <c r="E23" s="9"/>
      <c r="F23" s="9"/>
      <c r="G23" s="9"/>
      <c r="H23" s="9"/>
      <c r="I23" s="9"/>
      <c r="J23" s="10"/>
    </row>
    <row r="24" customFormat="false" ht="15" hidden="false" customHeight="false" outlineLevel="0" collapsed="false">
      <c r="A24" s="7" t="s">
        <v>68</v>
      </c>
      <c r="B24" s="8" t="s">
        <v>72</v>
      </c>
      <c r="C24" s="9"/>
      <c r="D24" s="9"/>
      <c r="E24" s="9"/>
      <c r="F24" s="9"/>
      <c r="G24" s="9"/>
      <c r="H24" s="9"/>
      <c r="I24" s="9"/>
      <c r="J24" s="10"/>
    </row>
    <row r="25" customFormat="false" ht="15" hidden="false" customHeight="false" outlineLevel="0" collapsed="false">
      <c r="A25" s="7" t="s">
        <v>68</v>
      </c>
      <c r="B25" s="8" t="s">
        <v>73</v>
      </c>
      <c r="C25" s="9"/>
      <c r="D25" s="9"/>
      <c r="E25" s="9"/>
      <c r="F25" s="9"/>
      <c r="G25" s="9"/>
      <c r="H25" s="9"/>
      <c r="I25" s="9"/>
      <c r="J25" s="10"/>
    </row>
    <row r="26" customFormat="false" ht="15" hidden="false" customHeight="false" outlineLevel="0" collapsed="false">
      <c r="A26" s="7" t="s">
        <v>68</v>
      </c>
      <c r="B26" s="8" t="s">
        <v>74</v>
      </c>
      <c r="C26" s="9"/>
      <c r="D26" s="9"/>
      <c r="E26" s="9"/>
      <c r="F26" s="9"/>
      <c r="G26" s="9"/>
      <c r="H26" s="9"/>
      <c r="I26" s="9"/>
      <c r="J26" s="10"/>
    </row>
    <row r="27" customFormat="false" ht="15" hidden="false" customHeight="false" outlineLevel="0" collapsed="false">
      <c r="A27" s="7" t="s">
        <v>68</v>
      </c>
      <c r="B27" s="8" t="s">
        <v>75</v>
      </c>
      <c r="C27" s="9"/>
      <c r="D27" s="9"/>
      <c r="E27" s="9"/>
      <c r="F27" s="9"/>
      <c r="G27" s="9"/>
      <c r="H27" s="9"/>
      <c r="I27" s="9"/>
      <c r="J27" s="10"/>
    </row>
    <row r="28" customFormat="false" ht="15" hidden="false" customHeight="false" outlineLevel="0" collapsed="false">
      <c r="A28" s="7" t="s">
        <v>76</v>
      </c>
      <c r="B28" s="8" t="s">
        <v>77</v>
      </c>
      <c r="C28" s="9"/>
      <c r="D28" s="9"/>
      <c r="E28" s="9"/>
      <c r="F28" s="9"/>
      <c r="G28" s="9"/>
      <c r="H28" s="9"/>
      <c r="I28" s="9"/>
      <c r="J28" s="10"/>
    </row>
    <row r="29" customFormat="false" ht="15" hidden="false" customHeight="false" outlineLevel="0" collapsed="false">
      <c r="A29" s="7" t="s">
        <v>76</v>
      </c>
      <c r="B29" s="8" t="s">
        <v>78</v>
      </c>
      <c r="C29" s="9"/>
      <c r="D29" s="9"/>
      <c r="E29" s="9"/>
      <c r="F29" s="9"/>
      <c r="G29" s="9"/>
      <c r="H29" s="9"/>
      <c r="I29" s="9"/>
      <c r="J29" s="10"/>
    </row>
    <row r="30" customFormat="false" ht="15" hidden="false" customHeight="false" outlineLevel="0" collapsed="false">
      <c r="A30" s="7" t="s">
        <v>76</v>
      </c>
      <c r="B30" s="8" t="s">
        <v>79</v>
      </c>
      <c r="C30" s="9"/>
      <c r="D30" s="9"/>
      <c r="E30" s="9"/>
      <c r="F30" s="9"/>
      <c r="G30" s="9"/>
      <c r="H30" s="9"/>
      <c r="I30" s="9"/>
      <c r="J30" s="10"/>
    </row>
    <row r="31" customFormat="false" ht="15" hidden="false" customHeight="false" outlineLevel="0" collapsed="false">
      <c r="A31" s="7" t="s">
        <v>76</v>
      </c>
      <c r="B31" s="8" t="s">
        <v>80</v>
      </c>
      <c r="C31" s="9"/>
      <c r="D31" s="9"/>
      <c r="E31" s="9"/>
      <c r="F31" s="9"/>
      <c r="G31" s="9"/>
      <c r="H31" s="9"/>
      <c r="I31" s="9"/>
      <c r="J31" s="10"/>
    </row>
    <row r="32" customFormat="false" ht="15" hidden="false" customHeight="false" outlineLevel="0" collapsed="false">
      <c r="A32" s="7" t="s">
        <v>76</v>
      </c>
      <c r="B32" s="8" t="s">
        <v>81</v>
      </c>
      <c r="C32" s="9"/>
      <c r="D32" s="9"/>
      <c r="E32" s="9"/>
      <c r="F32" s="9"/>
      <c r="G32" s="9"/>
      <c r="H32" s="9"/>
      <c r="I32" s="9"/>
      <c r="J32" s="10"/>
    </row>
    <row r="33" customFormat="false" ht="15" hidden="false" customHeight="false" outlineLevel="0" collapsed="false">
      <c r="A33" s="7" t="s">
        <v>76</v>
      </c>
      <c r="B33" s="8" t="s">
        <v>82</v>
      </c>
      <c r="C33" s="9"/>
      <c r="D33" s="9"/>
      <c r="E33" s="9"/>
      <c r="F33" s="9"/>
      <c r="G33" s="9"/>
      <c r="H33" s="9"/>
      <c r="I33" s="9"/>
      <c r="J33" s="10"/>
    </row>
    <row r="34" customFormat="false" ht="15" hidden="false" customHeight="false" outlineLevel="0" collapsed="false">
      <c r="A34" s="7" t="s">
        <v>76</v>
      </c>
      <c r="B34" s="8" t="s">
        <v>83</v>
      </c>
      <c r="C34" s="9"/>
      <c r="D34" s="9"/>
      <c r="E34" s="9"/>
      <c r="F34" s="9"/>
      <c r="G34" s="9"/>
      <c r="H34" s="9"/>
      <c r="I34" s="9"/>
      <c r="J34" s="10"/>
    </row>
    <row r="35" customFormat="false" ht="15" hidden="false" customHeight="false" outlineLevel="0" collapsed="false">
      <c r="A35" s="7" t="s">
        <v>76</v>
      </c>
      <c r="B35" s="8" t="s">
        <v>84</v>
      </c>
      <c r="C35" s="9"/>
      <c r="D35" s="9"/>
      <c r="E35" s="9"/>
      <c r="F35" s="9"/>
      <c r="G35" s="9"/>
      <c r="H35" s="9"/>
      <c r="I35" s="9"/>
      <c r="J35" s="10"/>
    </row>
    <row r="36" customFormat="false" ht="15" hidden="false" customHeight="false" outlineLevel="0" collapsed="false">
      <c r="A36" s="7" t="s">
        <v>76</v>
      </c>
      <c r="B36" s="8" t="s">
        <v>85</v>
      </c>
      <c r="C36" s="9"/>
      <c r="D36" s="9"/>
      <c r="E36" s="9"/>
      <c r="F36" s="9"/>
      <c r="G36" s="9"/>
      <c r="H36" s="9"/>
      <c r="I36" s="9"/>
      <c r="J36" s="10"/>
    </row>
    <row r="37" customFormat="false" ht="15" hidden="false" customHeight="false" outlineLevel="0" collapsed="false">
      <c r="A37" s="7" t="s">
        <v>76</v>
      </c>
      <c r="B37" s="8" t="s">
        <v>86</v>
      </c>
      <c r="C37" s="9"/>
      <c r="D37" s="9"/>
      <c r="E37" s="9"/>
      <c r="F37" s="9"/>
      <c r="G37" s="9"/>
      <c r="H37" s="9"/>
      <c r="I37" s="9"/>
      <c r="J37" s="10"/>
    </row>
    <row r="38" customFormat="false" ht="15" hidden="false" customHeight="false" outlineLevel="0" collapsed="false">
      <c r="A38" s="7" t="s">
        <v>76</v>
      </c>
      <c r="B38" s="8" t="s">
        <v>87</v>
      </c>
      <c r="C38" s="9"/>
      <c r="D38" s="9"/>
      <c r="E38" s="9"/>
      <c r="F38" s="9"/>
      <c r="G38" s="9"/>
      <c r="H38" s="9"/>
      <c r="I38" s="9"/>
      <c r="J38" s="10"/>
    </row>
    <row r="39" customFormat="false" ht="15" hidden="false" customHeight="false" outlineLevel="0" collapsed="false">
      <c r="A39" s="7" t="s">
        <v>76</v>
      </c>
      <c r="B39" s="8" t="s">
        <v>88</v>
      </c>
      <c r="C39" s="9"/>
      <c r="D39" s="9"/>
      <c r="E39" s="9"/>
      <c r="F39" s="9"/>
      <c r="G39" s="9"/>
      <c r="H39" s="9"/>
      <c r="I39" s="9"/>
      <c r="J39" s="10"/>
    </row>
    <row r="40" customFormat="false" ht="15" hidden="false" customHeight="false" outlineLevel="0" collapsed="false">
      <c r="A40" s="7" t="s">
        <v>76</v>
      </c>
      <c r="B40" s="8" t="s">
        <v>89</v>
      </c>
      <c r="C40" s="9"/>
      <c r="D40" s="9"/>
      <c r="E40" s="9"/>
      <c r="F40" s="9"/>
      <c r="G40" s="9"/>
      <c r="H40" s="9"/>
      <c r="I40" s="9"/>
      <c r="J40" s="10"/>
    </row>
    <row r="41" customFormat="false" ht="15" hidden="false" customHeight="false" outlineLevel="0" collapsed="false">
      <c r="A41" s="7" t="s">
        <v>76</v>
      </c>
      <c r="B41" s="8" t="s">
        <v>90</v>
      </c>
      <c r="C41" s="9"/>
      <c r="D41" s="9"/>
      <c r="E41" s="9"/>
      <c r="F41" s="9"/>
      <c r="G41" s="9"/>
      <c r="H41" s="9"/>
      <c r="I41" s="9"/>
      <c r="J41" s="10"/>
    </row>
    <row r="42" customFormat="false" ht="15" hidden="false" customHeight="false" outlineLevel="0" collapsed="false">
      <c r="A42" s="7" t="s">
        <v>91</v>
      </c>
      <c r="B42" s="8" t="s">
        <v>92</v>
      </c>
      <c r="C42" s="9"/>
      <c r="D42" s="9"/>
      <c r="E42" s="9"/>
      <c r="F42" s="9"/>
      <c r="G42" s="9"/>
      <c r="H42" s="9"/>
      <c r="I42" s="9"/>
      <c r="J42" s="10"/>
    </row>
    <row r="43" customFormat="false" ht="15" hidden="false" customHeight="false" outlineLevel="0" collapsed="false">
      <c r="A43" s="7" t="s">
        <v>91</v>
      </c>
      <c r="B43" s="8" t="s">
        <v>93</v>
      </c>
      <c r="C43" s="9"/>
      <c r="D43" s="9"/>
      <c r="E43" s="9"/>
      <c r="F43" s="9"/>
      <c r="G43" s="9"/>
      <c r="H43" s="9"/>
      <c r="I43" s="9"/>
      <c r="J43" s="10"/>
    </row>
    <row r="44" customFormat="false" ht="15" hidden="false" customHeight="false" outlineLevel="0" collapsed="false">
      <c r="A44" s="7" t="s">
        <v>91</v>
      </c>
      <c r="B44" s="8" t="s">
        <v>94</v>
      </c>
      <c r="C44" s="9"/>
      <c r="D44" s="9"/>
      <c r="E44" s="9"/>
      <c r="F44" s="9"/>
      <c r="G44" s="9"/>
      <c r="H44" s="9"/>
      <c r="I44" s="9"/>
      <c r="J44" s="10"/>
    </row>
    <row r="45" customFormat="false" ht="15" hidden="false" customHeight="false" outlineLevel="0" collapsed="false">
      <c r="A45" s="7" t="s">
        <v>91</v>
      </c>
      <c r="B45" s="8" t="s">
        <v>95</v>
      </c>
      <c r="C45" s="9"/>
      <c r="D45" s="9"/>
      <c r="E45" s="9"/>
      <c r="F45" s="9"/>
      <c r="G45" s="9"/>
      <c r="H45" s="9"/>
      <c r="I45" s="9"/>
      <c r="J45" s="10"/>
    </row>
    <row r="46" customFormat="false" ht="15" hidden="false" customHeight="false" outlineLevel="0" collapsed="false">
      <c r="A46" s="7" t="s">
        <v>91</v>
      </c>
      <c r="B46" s="8" t="s">
        <v>96</v>
      </c>
      <c r="C46" s="9"/>
      <c r="D46" s="9"/>
      <c r="E46" s="9"/>
      <c r="F46" s="9"/>
      <c r="G46" s="9"/>
      <c r="H46" s="9"/>
      <c r="I46" s="9"/>
      <c r="J46" s="10"/>
    </row>
    <row r="47" customFormat="false" ht="15" hidden="false" customHeight="false" outlineLevel="0" collapsed="false">
      <c r="A47" s="7" t="s">
        <v>91</v>
      </c>
      <c r="B47" s="8" t="s">
        <v>97</v>
      </c>
      <c r="C47" s="9"/>
      <c r="D47" s="9"/>
      <c r="E47" s="9"/>
      <c r="F47" s="9"/>
      <c r="G47" s="9"/>
      <c r="H47" s="9"/>
      <c r="I47" s="9"/>
      <c r="J47" s="10"/>
    </row>
    <row r="48" customFormat="false" ht="15" hidden="false" customHeight="false" outlineLevel="0" collapsed="false">
      <c r="A48" s="7" t="s">
        <v>91</v>
      </c>
      <c r="B48" s="8" t="s">
        <v>98</v>
      </c>
      <c r="C48" s="9"/>
      <c r="D48" s="9"/>
      <c r="E48" s="9"/>
      <c r="F48" s="9"/>
      <c r="G48" s="9"/>
      <c r="H48" s="9"/>
      <c r="I48" s="9"/>
      <c r="J48" s="10"/>
    </row>
    <row r="49" customFormat="false" ht="15" hidden="false" customHeight="false" outlineLevel="0" collapsed="false">
      <c r="A49" s="7" t="s">
        <v>91</v>
      </c>
      <c r="B49" s="8" t="s">
        <v>99</v>
      </c>
      <c r="C49" s="9"/>
      <c r="D49" s="9"/>
      <c r="E49" s="9"/>
      <c r="F49" s="9"/>
      <c r="G49" s="9"/>
      <c r="H49" s="9"/>
      <c r="I49" s="9"/>
      <c r="J49" s="10"/>
    </row>
    <row r="50" customFormat="false" ht="15" hidden="false" customHeight="false" outlineLevel="0" collapsed="false">
      <c r="A50" s="7" t="s">
        <v>91</v>
      </c>
      <c r="B50" s="8" t="s">
        <v>100</v>
      </c>
      <c r="C50" s="9"/>
      <c r="D50" s="9"/>
      <c r="E50" s="9"/>
      <c r="F50" s="9"/>
      <c r="G50" s="9"/>
      <c r="H50" s="9"/>
      <c r="I50" s="9"/>
      <c r="J50" s="10"/>
    </row>
    <row r="51" customFormat="false" ht="15" hidden="false" customHeight="false" outlineLevel="0" collapsed="false">
      <c r="A51" s="7" t="s">
        <v>101</v>
      </c>
      <c r="B51" s="8" t="s">
        <v>102</v>
      </c>
      <c r="C51" s="9"/>
      <c r="D51" s="9"/>
      <c r="E51" s="9"/>
      <c r="F51" s="9"/>
      <c r="G51" s="9"/>
      <c r="H51" s="9"/>
      <c r="I51" s="9"/>
      <c r="J51" s="10"/>
    </row>
    <row r="52" customFormat="false" ht="15" hidden="false" customHeight="false" outlineLevel="0" collapsed="false">
      <c r="A52" s="7" t="s">
        <v>101</v>
      </c>
      <c r="B52" s="8" t="s">
        <v>103</v>
      </c>
      <c r="C52" s="9"/>
      <c r="D52" s="9"/>
      <c r="E52" s="9"/>
      <c r="F52" s="9"/>
      <c r="G52" s="9"/>
      <c r="H52" s="9"/>
      <c r="I52" s="9"/>
      <c r="J52" s="10"/>
    </row>
    <row r="53" customFormat="false" ht="15" hidden="false" customHeight="false" outlineLevel="0" collapsed="false">
      <c r="A53" s="7" t="s">
        <v>101</v>
      </c>
      <c r="B53" s="8" t="s">
        <v>104</v>
      </c>
      <c r="C53" s="9"/>
      <c r="D53" s="9"/>
      <c r="E53" s="9"/>
      <c r="F53" s="9"/>
      <c r="G53" s="9"/>
      <c r="H53" s="9"/>
      <c r="I53" s="9"/>
      <c r="J53" s="10"/>
    </row>
    <row r="54" customFormat="false" ht="15" hidden="false" customHeight="false" outlineLevel="0" collapsed="false">
      <c r="A54" s="7" t="s">
        <v>101</v>
      </c>
      <c r="B54" s="8" t="s">
        <v>105</v>
      </c>
      <c r="C54" s="9"/>
      <c r="D54" s="9"/>
      <c r="E54" s="9"/>
      <c r="F54" s="9"/>
      <c r="G54" s="9"/>
      <c r="H54" s="9"/>
      <c r="I54" s="9"/>
      <c r="J54" s="10"/>
    </row>
    <row r="55" customFormat="false" ht="15" hidden="false" customHeight="false" outlineLevel="0" collapsed="false">
      <c r="A55" s="7" t="s">
        <v>101</v>
      </c>
      <c r="B55" s="8" t="s">
        <v>106</v>
      </c>
      <c r="C55" s="9"/>
      <c r="D55" s="9"/>
      <c r="E55" s="9"/>
      <c r="F55" s="9"/>
      <c r="G55" s="9"/>
      <c r="H55" s="9"/>
      <c r="I55" s="9"/>
      <c r="J55" s="10"/>
    </row>
    <row r="56" customFormat="false" ht="15" hidden="false" customHeight="false" outlineLevel="0" collapsed="false">
      <c r="A56" s="7" t="s">
        <v>101</v>
      </c>
      <c r="B56" s="8" t="s">
        <v>107</v>
      </c>
      <c r="C56" s="9"/>
      <c r="D56" s="9"/>
      <c r="E56" s="9"/>
      <c r="F56" s="9"/>
      <c r="G56" s="9"/>
      <c r="H56" s="9"/>
      <c r="I56" s="9"/>
      <c r="J56" s="10"/>
    </row>
    <row r="57" customFormat="false" ht="15" hidden="false" customHeight="false" outlineLevel="0" collapsed="false">
      <c r="A57" s="7" t="s">
        <v>101</v>
      </c>
      <c r="B57" s="8" t="s">
        <v>108</v>
      </c>
      <c r="C57" s="9"/>
      <c r="D57" s="9"/>
      <c r="E57" s="9"/>
      <c r="F57" s="9"/>
      <c r="G57" s="9"/>
      <c r="H57" s="9"/>
      <c r="I57" s="9"/>
      <c r="J57" s="10"/>
    </row>
    <row r="58" customFormat="false" ht="15" hidden="false" customHeight="false" outlineLevel="0" collapsed="false">
      <c r="A58" s="7" t="s">
        <v>101</v>
      </c>
      <c r="B58" s="8" t="s">
        <v>109</v>
      </c>
      <c r="C58" s="9"/>
      <c r="D58" s="9"/>
      <c r="E58" s="9"/>
      <c r="F58" s="9"/>
      <c r="G58" s="9"/>
      <c r="H58" s="9"/>
      <c r="I58" s="9"/>
      <c r="J58" s="10"/>
    </row>
    <row r="59" customFormat="false" ht="15" hidden="false" customHeight="false" outlineLevel="0" collapsed="false">
      <c r="A59" s="7" t="s">
        <v>101</v>
      </c>
      <c r="B59" s="8" t="s">
        <v>110</v>
      </c>
      <c r="C59" s="9"/>
      <c r="D59" s="9"/>
      <c r="E59" s="9"/>
      <c r="F59" s="9"/>
      <c r="G59" s="9"/>
      <c r="H59" s="9"/>
      <c r="I59" s="9"/>
      <c r="J59" s="10"/>
    </row>
    <row r="60" customFormat="false" ht="15" hidden="false" customHeight="false" outlineLevel="0" collapsed="false">
      <c r="A60" s="7" t="s">
        <v>101</v>
      </c>
      <c r="B60" s="8" t="s">
        <v>111</v>
      </c>
      <c r="C60" s="9"/>
      <c r="D60" s="9"/>
      <c r="E60" s="9"/>
      <c r="F60" s="9"/>
      <c r="G60" s="9"/>
      <c r="H60" s="9"/>
      <c r="I60" s="9"/>
      <c r="J60" s="10"/>
    </row>
    <row r="61" customFormat="false" ht="15" hidden="false" customHeight="false" outlineLevel="0" collapsed="false">
      <c r="A61" s="7" t="s">
        <v>112</v>
      </c>
      <c r="B61" s="8" t="s">
        <v>113</v>
      </c>
      <c r="C61" s="9"/>
      <c r="D61" s="9"/>
      <c r="E61" s="9"/>
      <c r="F61" s="9"/>
      <c r="G61" s="9"/>
      <c r="H61" s="9"/>
      <c r="I61" s="9"/>
      <c r="J61" s="10"/>
    </row>
    <row r="62" customFormat="false" ht="15" hidden="false" customHeight="false" outlineLevel="0" collapsed="false">
      <c r="A62" s="7" t="s">
        <v>112</v>
      </c>
      <c r="B62" s="8" t="s">
        <v>114</v>
      </c>
      <c r="C62" s="9"/>
      <c r="D62" s="9"/>
      <c r="E62" s="9"/>
      <c r="F62" s="9"/>
      <c r="G62" s="9"/>
      <c r="H62" s="9"/>
      <c r="I62" s="9"/>
      <c r="J62" s="10"/>
    </row>
    <row r="63" customFormat="false" ht="15" hidden="false" customHeight="false" outlineLevel="0" collapsed="false">
      <c r="A63" s="7" t="s">
        <v>112</v>
      </c>
      <c r="B63" s="8" t="s">
        <v>115</v>
      </c>
      <c r="C63" s="9"/>
      <c r="D63" s="9"/>
      <c r="E63" s="9"/>
      <c r="F63" s="9"/>
      <c r="G63" s="9"/>
      <c r="H63" s="9"/>
      <c r="I63" s="9"/>
      <c r="J63" s="10"/>
    </row>
    <row r="64" customFormat="false" ht="15" hidden="false" customHeight="false" outlineLevel="0" collapsed="false">
      <c r="A64" s="7" t="s">
        <v>112</v>
      </c>
      <c r="B64" s="8" t="s">
        <v>116</v>
      </c>
      <c r="C64" s="9"/>
      <c r="D64" s="9"/>
      <c r="E64" s="9"/>
      <c r="F64" s="9"/>
      <c r="G64" s="9"/>
      <c r="H64" s="9"/>
      <c r="I64" s="9"/>
      <c r="J64" s="10"/>
    </row>
    <row r="65" customFormat="false" ht="15" hidden="false" customHeight="false" outlineLevel="0" collapsed="false">
      <c r="A65" s="7" t="s">
        <v>112</v>
      </c>
      <c r="B65" s="8" t="s">
        <v>117</v>
      </c>
      <c r="C65" s="9"/>
      <c r="D65" s="9"/>
      <c r="E65" s="9"/>
      <c r="F65" s="9"/>
      <c r="G65" s="9"/>
      <c r="H65" s="9"/>
      <c r="I65" s="9"/>
      <c r="J65" s="10"/>
    </row>
    <row r="66" customFormat="false" ht="15" hidden="false" customHeight="false" outlineLevel="0" collapsed="false">
      <c r="A66" s="7" t="s">
        <v>112</v>
      </c>
      <c r="B66" s="8" t="s">
        <v>118</v>
      </c>
      <c r="C66" s="9"/>
      <c r="D66" s="9"/>
      <c r="E66" s="9"/>
      <c r="F66" s="9"/>
      <c r="G66" s="9"/>
      <c r="H66" s="9"/>
      <c r="I66" s="9"/>
      <c r="J66" s="10"/>
    </row>
    <row r="67" customFormat="false" ht="15" hidden="false" customHeight="false" outlineLevel="0" collapsed="false">
      <c r="A67" s="7" t="s">
        <v>112</v>
      </c>
      <c r="B67" s="8" t="s">
        <v>119</v>
      </c>
      <c r="C67" s="9"/>
      <c r="D67" s="9"/>
      <c r="E67" s="9"/>
      <c r="F67" s="9"/>
      <c r="G67" s="9"/>
      <c r="H67" s="9"/>
      <c r="I67" s="9"/>
      <c r="J67" s="10"/>
    </row>
    <row r="68" customFormat="false" ht="15" hidden="false" customHeight="false" outlineLevel="0" collapsed="false">
      <c r="A68" s="7" t="s">
        <v>112</v>
      </c>
      <c r="B68" s="8" t="s">
        <v>120</v>
      </c>
      <c r="C68" s="9"/>
      <c r="D68" s="9"/>
      <c r="E68" s="9"/>
      <c r="F68" s="9"/>
      <c r="G68" s="9"/>
      <c r="H68" s="9"/>
      <c r="I68" s="9"/>
      <c r="J68" s="10"/>
    </row>
    <row r="69" customFormat="false" ht="15" hidden="false" customHeight="false" outlineLevel="0" collapsed="false">
      <c r="A69" s="7" t="s">
        <v>112</v>
      </c>
      <c r="B69" s="8" t="s">
        <v>121</v>
      </c>
      <c r="C69" s="9"/>
      <c r="D69" s="9"/>
      <c r="E69" s="9"/>
      <c r="F69" s="9"/>
      <c r="G69" s="9"/>
      <c r="H69" s="9"/>
      <c r="I69" s="9"/>
      <c r="J69" s="10"/>
    </row>
    <row r="70" customFormat="false" ht="15" hidden="false" customHeight="false" outlineLevel="0" collapsed="false">
      <c r="A70" s="7" t="s">
        <v>112</v>
      </c>
      <c r="B70" s="8" t="s">
        <v>122</v>
      </c>
      <c r="C70" s="9"/>
      <c r="D70" s="9"/>
      <c r="E70" s="9"/>
      <c r="F70" s="9"/>
      <c r="G70" s="9"/>
      <c r="H70" s="9"/>
      <c r="I70" s="9"/>
      <c r="J70" s="10"/>
    </row>
    <row r="71" customFormat="false" ht="15" hidden="false" customHeight="false" outlineLevel="0" collapsed="false">
      <c r="A71" s="7" t="s">
        <v>123</v>
      </c>
      <c r="B71" s="8" t="s">
        <v>124</v>
      </c>
      <c r="C71" s="9"/>
      <c r="D71" s="9"/>
      <c r="E71" s="9"/>
      <c r="F71" s="9"/>
      <c r="G71" s="9"/>
      <c r="H71" s="9"/>
      <c r="I71" s="9"/>
      <c r="J71" s="10"/>
    </row>
    <row r="72" customFormat="false" ht="15" hidden="false" customHeight="false" outlineLevel="0" collapsed="false">
      <c r="A72" s="7" t="s">
        <v>123</v>
      </c>
      <c r="B72" s="8" t="s">
        <v>125</v>
      </c>
      <c r="C72" s="9"/>
      <c r="D72" s="9"/>
      <c r="E72" s="9"/>
      <c r="F72" s="9"/>
      <c r="G72" s="9"/>
      <c r="H72" s="9"/>
      <c r="I72" s="9"/>
      <c r="J72" s="10"/>
    </row>
    <row r="73" customFormat="false" ht="15" hidden="false" customHeight="false" outlineLevel="0" collapsed="false">
      <c r="A73" s="7" t="s">
        <v>123</v>
      </c>
      <c r="B73" s="8" t="s">
        <v>126</v>
      </c>
      <c r="C73" s="9"/>
      <c r="D73" s="9"/>
      <c r="E73" s="9"/>
      <c r="F73" s="9"/>
      <c r="G73" s="9"/>
      <c r="H73" s="9"/>
      <c r="I73" s="9"/>
      <c r="J73" s="10"/>
    </row>
    <row r="74" customFormat="false" ht="15" hidden="false" customHeight="false" outlineLevel="0" collapsed="false">
      <c r="A74" s="7" t="s">
        <v>123</v>
      </c>
      <c r="B74" s="8" t="s">
        <v>127</v>
      </c>
      <c r="C74" s="9"/>
      <c r="D74" s="9"/>
      <c r="E74" s="9"/>
      <c r="F74" s="9"/>
      <c r="G74" s="9"/>
      <c r="H74" s="9"/>
      <c r="I74" s="9"/>
      <c r="J74" s="10"/>
    </row>
    <row r="75" customFormat="false" ht="15" hidden="false" customHeight="false" outlineLevel="0" collapsed="false">
      <c r="A75" s="7" t="s">
        <v>123</v>
      </c>
      <c r="B75" s="8" t="s">
        <v>128</v>
      </c>
      <c r="C75" s="9"/>
      <c r="D75" s="9"/>
      <c r="E75" s="9"/>
      <c r="F75" s="9"/>
      <c r="G75" s="9"/>
      <c r="H75" s="9"/>
      <c r="I75" s="9"/>
      <c r="J75" s="10"/>
    </row>
    <row r="76" customFormat="false" ht="15" hidden="false" customHeight="false" outlineLevel="0" collapsed="false">
      <c r="A76" s="7" t="s">
        <v>123</v>
      </c>
      <c r="B76" s="8" t="s">
        <v>129</v>
      </c>
      <c r="C76" s="9"/>
      <c r="D76" s="9"/>
      <c r="E76" s="9"/>
      <c r="F76" s="9"/>
      <c r="G76" s="9"/>
      <c r="H76" s="9"/>
      <c r="I76" s="9"/>
      <c r="J76" s="10"/>
    </row>
    <row r="77" customFormat="false" ht="15" hidden="false" customHeight="false" outlineLevel="0" collapsed="false">
      <c r="A77" s="7" t="s">
        <v>130</v>
      </c>
      <c r="B77" s="8" t="s">
        <v>131</v>
      </c>
      <c r="C77" s="9"/>
      <c r="D77" s="9"/>
      <c r="E77" s="9"/>
      <c r="F77" s="9"/>
      <c r="G77" s="9"/>
      <c r="H77" s="9"/>
      <c r="I77" s="9"/>
      <c r="J77" s="10"/>
    </row>
    <row r="78" customFormat="false" ht="15" hidden="false" customHeight="false" outlineLevel="0" collapsed="false">
      <c r="A78" s="7" t="s">
        <v>130</v>
      </c>
      <c r="B78" s="8" t="s">
        <v>132</v>
      </c>
      <c r="C78" s="9"/>
      <c r="D78" s="9"/>
      <c r="E78" s="9"/>
      <c r="F78" s="9"/>
      <c r="G78" s="9"/>
      <c r="H78" s="9"/>
      <c r="I78" s="9"/>
      <c r="J78" s="10"/>
    </row>
    <row r="79" customFormat="false" ht="15" hidden="false" customHeight="false" outlineLevel="0" collapsed="false">
      <c r="A79" s="7" t="s">
        <v>130</v>
      </c>
      <c r="B79" s="8" t="s">
        <v>133</v>
      </c>
      <c r="C79" s="9"/>
      <c r="D79" s="9"/>
      <c r="E79" s="9"/>
      <c r="F79" s="9"/>
      <c r="G79" s="9"/>
      <c r="H79" s="9"/>
      <c r="I79" s="9"/>
      <c r="J79" s="10"/>
    </row>
    <row r="80" customFormat="false" ht="15" hidden="false" customHeight="false" outlineLevel="0" collapsed="false">
      <c r="A80" s="7" t="s">
        <v>130</v>
      </c>
      <c r="B80" s="8" t="s">
        <v>134</v>
      </c>
      <c r="C80" s="9"/>
      <c r="D80" s="9"/>
      <c r="E80" s="9"/>
      <c r="F80" s="9"/>
      <c r="G80" s="9"/>
      <c r="H80" s="9"/>
      <c r="I80" s="9"/>
      <c r="J80" s="10"/>
    </row>
    <row r="81" customFormat="false" ht="15" hidden="false" customHeight="false" outlineLevel="0" collapsed="false">
      <c r="A81" s="7" t="s">
        <v>130</v>
      </c>
      <c r="B81" s="8" t="s">
        <v>135</v>
      </c>
      <c r="C81" s="9"/>
      <c r="D81" s="9"/>
      <c r="E81" s="9"/>
      <c r="F81" s="9"/>
      <c r="G81" s="9"/>
      <c r="H81" s="9"/>
      <c r="I81" s="9"/>
      <c r="J81" s="10"/>
    </row>
    <row r="82" customFormat="false" ht="15" hidden="false" customHeight="false" outlineLevel="0" collapsed="false">
      <c r="A82" s="7" t="s">
        <v>136</v>
      </c>
      <c r="B82" s="8" t="s">
        <v>137</v>
      </c>
      <c r="C82" s="9"/>
      <c r="D82" s="9"/>
      <c r="E82" s="9"/>
      <c r="F82" s="9"/>
      <c r="G82" s="9"/>
      <c r="H82" s="9"/>
      <c r="I82" s="9"/>
      <c r="J82" s="10"/>
    </row>
    <row r="83" customFormat="false" ht="15" hidden="false" customHeight="false" outlineLevel="0" collapsed="false">
      <c r="A83" s="7" t="s">
        <v>136</v>
      </c>
      <c r="B83" s="8" t="s">
        <v>138</v>
      </c>
      <c r="C83" s="9"/>
      <c r="D83" s="9"/>
      <c r="E83" s="9"/>
      <c r="F83" s="9"/>
      <c r="G83" s="9"/>
      <c r="H83" s="9"/>
      <c r="I83" s="9"/>
      <c r="J83" s="10"/>
    </row>
    <row r="84" customFormat="false" ht="15" hidden="false" customHeight="false" outlineLevel="0" collapsed="false">
      <c r="A84" s="7" t="s">
        <v>136</v>
      </c>
      <c r="B84" s="8" t="s">
        <v>139</v>
      </c>
      <c r="C84" s="9"/>
      <c r="D84" s="9"/>
      <c r="E84" s="9"/>
      <c r="F84" s="9"/>
      <c r="G84" s="9"/>
      <c r="H84" s="9"/>
      <c r="I84" s="9"/>
      <c r="J84" s="10"/>
    </row>
    <row r="86" customFormat="false" ht="15" hidden="false" customHeight="false" outlineLevel="0" collapsed="false">
      <c r="B86" s="2" t="s">
        <v>140</v>
      </c>
      <c r="C86" s="11" t="n">
        <v>1240</v>
      </c>
      <c r="D86" s="11" t="n">
        <v>310</v>
      </c>
      <c r="E86" s="11" t="n">
        <v>95</v>
      </c>
      <c r="F86" s="11" t="n">
        <v>1890</v>
      </c>
      <c r="G86" s="11" t="n">
        <v>460</v>
      </c>
      <c r="H86" s="11" t="n">
        <v>8400</v>
      </c>
      <c r="I86" s="11" t="n">
        <v>2100</v>
      </c>
      <c r="J86" s="11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9" min="2" style="0" width="16"/>
  </cols>
  <sheetData>
    <row r="1" customFormat="false" ht="15" hidden="false" customHeight="false" outlineLevel="0" collapsed="false">
      <c r="A1" s="12" t="s">
        <v>142</v>
      </c>
    </row>
    <row r="3" customFormat="false" ht="42" hidden="false" customHeight="true" outlineLevel="0" collapsed="false">
      <c r="A3" s="6" t="s">
        <v>143</v>
      </c>
      <c r="B3" s="6" t="s">
        <v>48</v>
      </c>
      <c r="C3" s="6" t="s">
        <v>57</v>
      </c>
      <c r="D3" s="6" t="s">
        <v>70</v>
      </c>
      <c r="E3" s="6" t="s">
        <v>92</v>
      </c>
      <c r="F3" s="6" t="s">
        <v>102</v>
      </c>
      <c r="G3" s="6" t="s">
        <v>124</v>
      </c>
      <c r="H3" s="6" t="s">
        <v>77</v>
      </c>
      <c r="I3" s="6" t="s">
        <v>114</v>
      </c>
    </row>
    <row r="4" customFormat="false" ht="15" hidden="false" customHeight="false" outlineLevel="0" collapsed="false">
      <c r="A4" s="13" t="s">
        <v>144</v>
      </c>
      <c r="B4" s="9"/>
      <c r="C4" s="9"/>
      <c r="D4" s="9"/>
      <c r="E4" s="9"/>
      <c r="F4" s="9"/>
      <c r="G4" s="9"/>
      <c r="H4" s="9"/>
      <c r="I4" s="9"/>
    </row>
    <row r="5" customFormat="false" ht="15" hidden="false" customHeight="false" outlineLevel="0" collapsed="false">
      <c r="A5" s="13" t="s">
        <v>145</v>
      </c>
      <c r="B5" s="9"/>
      <c r="C5" s="9"/>
      <c r="D5" s="9"/>
      <c r="E5" s="9"/>
      <c r="F5" s="9"/>
      <c r="G5" s="9"/>
      <c r="H5" s="9"/>
      <c r="I5" s="9"/>
    </row>
    <row r="6" customFormat="false" ht="15" hidden="false" customHeight="false" outlineLevel="0" collapsed="false">
      <c r="A6" s="13" t="s">
        <v>146</v>
      </c>
      <c r="B6" s="9"/>
      <c r="C6" s="9"/>
      <c r="D6" s="9"/>
      <c r="E6" s="9"/>
      <c r="F6" s="9"/>
      <c r="G6" s="9"/>
      <c r="H6" s="9"/>
      <c r="I6" s="9"/>
    </row>
    <row r="7" customFormat="false" ht="15" hidden="false" customHeight="false" outlineLevel="0" collapsed="false">
      <c r="A7" s="13" t="s">
        <v>147</v>
      </c>
      <c r="B7" s="9"/>
      <c r="C7" s="9"/>
      <c r="D7" s="9"/>
      <c r="E7" s="9"/>
      <c r="F7" s="9"/>
      <c r="G7" s="9"/>
      <c r="H7" s="9"/>
      <c r="I7" s="9"/>
    </row>
    <row r="8" customFormat="false" ht="15" hidden="false" customHeight="false" outlineLevel="0" collapsed="false">
      <c r="A8" s="13" t="s">
        <v>148</v>
      </c>
      <c r="B8" s="9"/>
      <c r="C8" s="9"/>
      <c r="D8" s="9"/>
      <c r="E8" s="9"/>
      <c r="F8" s="9"/>
      <c r="G8" s="9"/>
      <c r="H8" s="9"/>
      <c r="I8" s="9"/>
    </row>
    <row r="9" customFormat="false" ht="15" hidden="false" customHeight="false" outlineLevel="0" collapsed="false">
      <c r="A9" s="13" t="s">
        <v>149</v>
      </c>
      <c r="B9" s="9"/>
      <c r="C9" s="9"/>
      <c r="D9" s="9"/>
      <c r="E9" s="9"/>
      <c r="F9" s="9"/>
      <c r="G9" s="9"/>
      <c r="H9" s="9"/>
      <c r="I9" s="9"/>
    </row>
    <row r="10" customFormat="false" ht="15" hidden="false" customHeight="false" outlineLevel="0" collapsed="false">
      <c r="A10" s="13" t="s">
        <v>150</v>
      </c>
      <c r="B10" s="9"/>
      <c r="C10" s="9"/>
      <c r="D10" s="9"/>
      <c r="E10" s="9"/>
      <c r="F10" s="9"/>
      <c r="G10" s="9"/>
      <c r="H10" s="9"/>
      <c r="I10" s="9"/>
    </row>
    <row r="11" customFormat="false" ht="15" hidden="false" customHeight="false" outlineLevel="0" collapsed="false">
      <c r="A11" s="13" t="s">
        <v>151</v>
      </c>
      <c r="B11" s="9"/>
      <c r="C11" s="9"/>
      <c r="D11" s="9"/>
      <c r="E11" s="9"/>
      <c r="F11" s="9"/>
      <c r="G11" s="9"/>
      <c r="H11" s="9"/>
      <c r="I11" s="9"/>
    </row>
    <row r="12" customFormat="false" ht="15" hidden="false" customHeight="false" outlineLevel="0" collapsed="false">
      <c r="A12" s="13" t="s">
        <v>152</v>
      </c>
      <c r="B12" s="9"/>
      <c r="C12" s="9"/>
      <c r="D12" s="9"/>
      <c r="E12" s="9"/>
      <c r="F12" s="9"/>
      <c r="G12" s="9"/>
      <c r="H12" s="9"/>
      <c r="I12" s="9"/>
    </row>
    <row r="13" customFormat="false" ht="15" hidden="false" customHeight="false" outlineLevel="0" collapsed="false">
      <c r="A13" s="13" t="s">
        <v>153</v>
      </c>
      <c r="B13" s="9"/>
      <c r="C13" s="9"/>
      <c r="D13" s="9"/>
      <c r="E13" s="9"/>
      <c r="F13" s="9"/>
      <c r="G13" s="9"/>
      <c r="H13" s="9"/>
      <c r="I13" s="9"/>
    </row>
    <row r="14" customFormat="false" ht="15" hidden="false" customHeight="false" outlineLevel="0" collapsed="false">
      <c r="A14" s="13" t="s">
        <v>154</v>
      </c>
      <c r="B14" s="9"/>
      <c r="C14" s="9"/>
      <c r="D14" s="9"/>
      <c r="E14" s="9"/>
      <c r="F14" s="9"/>
      <c r="G14" s="9"/>
      <c r="H14" s="9"/>
      <c r="I14" s="9"/>
    </row>
    <row r="15" customFormat="false" ht="15" hidden="false" customHeight="false" outlineLevel="0" collapsed="false">
      <c r="A15" s="13" t="s">
        <v>155</v>
      </c>
      <c r="B15" s="9"/>
      <c r="C15" s="9"/>
      <c r="D15" s="9"/>
      <c r="E15" s="9"/>
      <c r="F15" s="9"/>
      <c r="G15" s="9"/>
      <c r="H15" s="9"/>
      <c r="I15" s="9"/>
    </row>
    <row r="16" customFormat="false" ht="15" hidden="false" customHeight="false" outlineLevel="0" collapsed="false">
      <c r="A16" s="13" t="s">
        <v>156</v>
      </c>
      <c r="B16" s="9"/>
      <c r="C16" s="9"/>
      <c r="D16" s="9"/>
      <c r="E16" s="9"/>
      <c r="F16" s="9"/>
      <c r="G16" s="9"/>
      <c r="H16" s="9"/>
      <c r="I16" s="9"/>
    </row>
    <row r="17" customFormat="false" ht="15" hidden="false" customHeight="false" outlineLevel="0" collapsed="false">
      <c r="A17" s="13" t="s">
        <v>157</v>
      </c>
      <c r="B17" s="9"/>
      <c r="C17" s="9"/>
      <c r="D17" s="9"/>
      <c r="E17" s="9"/>
      <c r="F17" s="9"/>
      <c r="G17" s="9"/>
      <c r="H17" s="9"/>
      <c r="I17" s="9"/>
    </row>
    <row r="18" customFormat="false" ht="15" hidden="false" customHeight="false" outlineLevel="0" collapsed="false">
      <c r="A18" s="13" t="s">
        <v>158</v>
      </c>
      <c r="B18" s="9"/>
      <c r="C18" s="9"/>
      <c r="D18" s="9"/>
      <c r="E18" s="9"/>
      <c r="F18" s="9"/>
      <c r="G18" s="9"/>
      <c r="H18" s="9"/>
      <c r="I18" s="9"/>
    </row>
    <row r="19" customFormat="false" ht="15" hidden="false" customHeight="false" outlineLevel="0" collapsed="false">
      <c r="A19" s="13" t="s">
        <v>159</v>
      </c>
      <c r="B19" s="9"/>
      <c r="C19" s="9"/>
      <c r="D19" s="9"/>
      <c r="E19" s="9"/>
      <c r="F19" s="9"/>
      <c r="G19" s="9"/>
      <c r="H19" s="9"/>
      <c r="I19" s="9"/>
    </row>
    <row r="20" customFormat="false" ht="15" hidden="false" customHeight="false" outlineLevel="0" collapsed="false">
      <c r="A20" s="13" t="s">
        <v>160</v>
      </c>
      <c r="B20" s="9"/>
      <c r="C20" s="9"/>
      <c r="D20" s="9"/>
      <c r="E20" s="9"/>
      <c r="F20" s="9"/>
      <c r="G20" s="9"/>
      <c r="H20" s="9"/>
      <c r="I20" s="9"/>
    </row>
    <row r="21" customFormat="false" ht="15" hidden="false" customHeight="false" outlineLevel="0" collapsed="false">
      <c r="A21" s="13" t="s">
        <v>161</v>
      </c>
      <c r="B21" s="9"/>
      <c r="C21" s="9"/>
      <c r="D21" s="9"/>
      <c r="E21" s="9"/>
      <c r="F21" s="9"/>
      <c r="G21" s="9"/>
      <c r="H21" s="9"/>
      <c r="I21" s="9"/>
    </row>
    <row r="22" customFormat="false" ht="15" hidden="false" customHeight="false" outlineLevel="0" collapsed="false">
      <c r="A22" s="13" t="s">
        <v>162</v>
      </c>
      <c r="B22" s="9"/>
      <c r="C22" s="9"/>
      <c r="D22" s="9"/>
      <c r="E22" s="9"/>
      <c r="F22" s="9"/>
      <c r="G22" s="9"/>
      <c r="H22" s="9"/>
      <c r="I22" s="9"/>
    </row>
    <row r="23" customFormat="false" ht="15" hidden="false" customHeight="false" outlineLevel="0" collapsed="false">
      <c r="A23" s="13" t="s">
        <v>163</v>
      </c>
      <c r="B23" s="9"/>
      <c r="C23" s="9"/>
      <c r="D23" s="9"/>
      <c r="E23" s="9"/>
      <c r="F23" s="9"/>
      <c r="G23" s="9"/>
      <c r="H23" s="9"/>
      <c r="I23" s="9"/>
    </row>
    <row r="24" customFormat="false" ht="15" hidden="false" customHeight="false" outlineLevel="0" collapsed="false">
      <c r="A24" s="13" t="s">
        <v>164</v>
      </c>
      <c r="B24" s="9"/>
      <c r="C24" s="9"/>
      <c r="D24" s="9"/>
      <c r="E24" s="9"/>
      <c r="F24" s="9"/>
      <c r="G24" s="9"/>
      <c r="H24" s="9"/>
      <c r="I24" s="9"/>
    </row>
    <row r="25" customFormat="false" ht="15" hidden="false" customHeight="false" outlineLevel="0" collapsed="false">
      <c r="A25" s="13" t="s">
        <v>165</v>
      </c>
      <c r="B25" s="9"/>
      <c r="C25" s="9"/>
      <c r="D25" s="9"/>
      <c r="E25" s="9"/>
      <c r="F25" s="9"/>
      <c r="G25" s="9"/>
      <c r="H25" s="9"/>
      <c r="I25" s="9"/>
    </row>
    <row r="26" customFormat="false" ht="15" hidden="false" customHeight="false" outlineLevel="0" collapsed="false">
      <c r="A26" s="13" t="s">
        <v>166</v>
      </c>
      <c r="B26" s="9"/>
      <c r="C26" s="9"/>
      <c r="D26" s="9"/>
      <c r="E26" s="9"/>
      <c r="F26" s="9"/>
      <c r="G26" s="9"/>
      <c r="H26" s="9"/>
      <c r="I26" s="9"/>
    </row>
    <row r="27" customFormat="false" ht="15" hidden="false" customHeight="false" outlineLevel="0" collapsed="false">
      <c r="A27" s="13" t="s">
        <v>167</v>
      </c>
      <c r="B27" s="9"/>
      <c r="C27" s="9"/>
      <c r="D27" s="9"/>
      <c r="E27" s="9"/>
      <c r="F27" s="9"/>
      <c r="G27" s="9"/>
      <c r="H27" s="9"/>
      <c r="I27" s="9"/>
    </row>
    <row r="29" customFormat="false" ht="15" hidden="false" customHeight="false" outlineLevel="0" collapsed="false">
      <c r="A29" s="2" t="s">
        <v>168</v>
      </c>
      <c r="B29" s="14" t="n">
        <f aca="false">IFERROR(AVERAGE(B4:B27),0)</f>
        <v>0</v>
      </c>
      <c r="C29" s="14" t="n">
        <f aca="false">IFERROR(AVERAGE(C4:C27),0)</f>
        <v>0</v>
      </c>
      <c r="D29" s="14" t="n">
        <f aca="false">IFERROR(AVERAGE(D4:D27),0)</f>
        <v>0</v>
      </c>
      <c r="E29" s="14" t="n">
        <f aca="false">IFERROR(AVERAGE(E4:E27),0)</f>
        <v>0</v>
      </c>
      <c r="F29" s="14" t="n">
        <f aca="false">IFERROR(AVERAGE(F4:F27),0)</f>
        <v>0</v>
      </c>
      <c r="G29" s="14" t="n">
        <f aca="false">IFERROR(AVERAGE(G4:G27),0)</f>
        <v>0</v>
      </c>
      <c r="H29" s="14" t="n">
        <f aca="false">IFERROR(AVERAGE(H4:H27),0)</f>
        <v>0</v>
      </c>
      <c r="I29" s="14" t="n">
        <f aca="false">IFERROR(AVERAGE(I4:I27),0)</f>
        <v>0</v>
      </c>
    </row>
    <row r="30" customFormat="false" ht="15" hidden="false" customHeight="false" outlineLevel="0" collapsed="false">
      <c r="A30" s="2" t="s">
        <v>169</v>
      </c>
      <c r="B30" s="14" t="n">
        <f aca="false">IFERROR(MAX(B4:B27),0)</f>
        <v>0</v>
      </c>
      <c r="C30" s="14" t="n">
        <f aca="false">IFERROR(MAX(C4:C27),0)</f>
        <v>0</v>
      </c>
      <c r="D30" s="14" t="n">
        <f aca="false">IFERROR(MAX(D4:D27),0)</f>
        <v>0</v>
      </c>
      <c r="E30" s="14" t="n">
        <f aca="false">IFERROR(MAX(E4:E27),0)</f>
        <v>0</v>
      </c>
      <c r="F30" s="14" t="n">
        <f aca="false">IFERROR(MAX(F4:F27),0)</f>
        <v>0</v>
      </c>
      <c r="G30" s="14" t="n">
        <f aca="false">IFERROR(MAX(G4:G27),0)</f>
        <v>0</v>
      </c>
      <c r="H30" s="14" t="n">
        <f aca="false">IFERROR(MAX(H4:H27),0)</f>
        <v>0</v>
      </c>
      <c r="I30" s="14" t="n">
        <f aca="false">IFERROR(MAX(I4:I27),0)</f>
        <v>0</v>
      </c>
    </row>
    <row r="31" customFormat="false" ht="15" hidden="false" customHeight="false" outlineLevel="0" collapsed="false">
      <c r="A31" s="2" t="s">
        <v>170</v>
      </c>
      <c r="B31" s="14" t="n">
        <f aca="false">IFERROR(MIN(B4:B27),0)</f>
        <v>0</v>
      </c>
      <c r="C31" s="14" t="n">
        <f aca="false">IFERROR(MIN(C4:C27),0)</f>
        <v>0</v>
      </c>
      <c r="D31" s="14" t="n">
        <f aca="false">IFERROR(MIN(D4:D27),0)</f>
        <v>0</v>
      </c>
      <c r="E31" s="14" t="n">
        <f aca="false">IFERROR(MIN(E4:E27),0)</f>
        <v>0</v>
      </c>
      <c r="F31" s="14" t="n">
        <f aca="false">IFERROR(MIN(F4:F27),0)</f>
        <v>0</v>
      </c>
      <c r="G31" s="14" t="n">
        <f aca="false">IFERROR(MIN(G4:G27),0)</f>
        <v>0</v>
      </c>
      <c r="H31" s="14" t="n">
        <f aca="false">IFERROR(MIN(H4:H27),0)</f>
        <v>0</v>
      </c>
      <c r="I31" s="14" t="n">
        <f aca="false">IFERROR(MIN(I4:I27),0)</f>
        <v>0</v>
      </c>
    </row>
    <row r="32" customFormat="false" ht="15" hidden="false" customHeight="false" outlineLevel="0" collapsed="false">
      <c r="A32" s="2" t="s">
        <v>171</v>
      </c>
      <c r="B32" s="15" t="n">
        <f aca="false">IFERROR(B30/MAX(B31,1),0)</f>
        <v>0</v>
      </c>
      <c r="C32" s="15" t="n">
        <f aca="false">IFERROR(C30/MAX(C31,1),0)</f>
        <v>0</v>
      </c>
      <c r="D32" s="15" t="n">
        <f aca="false">IFERROR(D30/MAX(D31,1),0)</f>
        <v>0</v>
      </c>
      <c r="E32" s="15" t="n">
        <f aca="false">IFERROR(E30/MAX(E31,1),0)</f>
        <v>0</v>
      </c>
      <c r="F32" s="15" t="n">
        <f aca="false">IFERROR(F30/MAX(F31,1),0)</f>
        <v>0</v>
      </c>
      <c r="G32" s="15" t="n">
        <f aca="false">IFERROR(G30/MAX(G31,1),0)</f>
        <v>0</v>
      </c>
      <c r="H32" s="15" t="n">
        <f aca="false">IFERROR(H30/MAX(H31,1),0)</f>
        <v>0</v>
      </c>
      <c r="I32" s="15" t="n">
        <f aca="false">IFERROR(I30/MAX(I31,1),0)</f>
        <v>0</v>
      </c>
    </row>
    <row r="33" customFormat="false" ht="15" hidden="false" customHeight="false" outlineLevel="0" collapsed="false">
      <c r="A33" s="2" t="s">
        <v>172</v>
      </c>
      <c r="B33" s="16" t="n">
        <f aca="false">IFERROR(SUM(B16:B27)/MAX(SUM(B4:B15),1)-1,0)</f>
        <v>-1</v>
      </c>
      <c r="C33" s="16" t="n">
        <f aca="false">IFERROR(SUM(C16:C27)/MAX(SUM(C4:C15),1)-1,0)</f>
        <v>-1</v>
      </c>
      <c r="D33" s="16" t="n">
        <f aca="false">IFERROR(SUM(D16:D27)/MAX(SUM(D4:D15),1)-1,0)</f>
        <v>-1</v>
      </c>
      <c r="E33" s="16" t="n">
        <f aca="false">IFERROR(SUM(E16:E27)/MAX(SUM(E4:E15),1)-1,0)</f>
        <v>-1</v>
      </c>
      <c r="F33" s="16" t="n">
        <f aca="false">IFERROR(SUM(F16:F27)/MAX(SUM(F4:F15),1)-1,0)</f>
        <v>-1</v>
      </c>
      <c r="G33" s="16" t="n">
        <f aca="false">IFERROR(SUM(G16:G27)/MAX(SUM(G4:G15),1)-1,0)</f>
        <v>-1</v>
      </c>
      <c r="H33" s="16" t="n">
        <f aca="false">IFERROR(SUM(H16:H27)/MAX(SUM(H4:H15),1)-1,0)</f>
        <v>-1</v>
      </c>
      <c r="I33" s="16" t="n">
        <f aca="false">IFERROR(SUM(I16:I27)/MAX(SUM(I4:I15),1)-1,0)</f>
        <v>-1</v>
      </c>
    </row>
    <row r="35" customFormat="false" ht="124.6" hidden="false" customHeight="false" outlineLevel="0" collapsed="false">
      <c r="A35" s="3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1" t="s">
        <v>174</v>
      </c>
    </row>
    <row r="2" customFormat="false" ht="15" hidden="false" customHeight="false" outlineLevel="0" collapsed="false">
      <c r="A2" s="11" t="s">
        <v>175</v>
      </c>
    </row>
    <row r="4" customFormat="false" ht="42" hidden="false" customHeight="true" outlineLevel="0" collapsed="false">
      <c r="A4" s="6" t="s">
        <v>37</v>
      </c>
      <c r="B4" s="6" t="s">
        <v>39</v>
      </c>
      <c r="C4" s="6" t="s">
        <v>40</v>
      </c>
      <c r="D4" s="6" t="s">
        <v>176</v>
      </c>
      <c r="E4" s="6" t="s">
        <v>44</v>
      </c>
      <c r="F4" s="6" t="s">
        <v>177</v>
      </c>
      <c r="G4" s="6" t="s">
        <v>178</v>
      </c>
    </row>
    <row r="5" customFormat="false" ht="30" hidden="false" customHeight="true" outlineLevel="0" collapsed="false">
      <c r="A5" s="17" t="s">
        <v>47</v>
      </c>
      <c r="B5" s="14" t="n">
        <f aca="false">SUM(Данные!C2:C9)</f>
        <v>0</v>
      </c>
      <c r="C5" s="14" t="n">
        <f aca="false">SUM(Данные!D2:D9)</f>
        <v>0</v>
      </c>
      <c r="D5" s="14" t="n">
        <f aca="false">SUM(Данные!F2:F9)</f>
        <v>0</v>
      </c>
      <c r="E5" s="14" t="n">
        <f aca="false">SUM(Данные!H2:H9)</f>
        <v>0</v>
      </c>
      <c r="F5" s="18" t="n">
        <f aca="false">IFERROR(B5/MAX(E5,1),0)</f>
        <v>0</v>
      </c>
      <c r="G5" s="19" t="s">
        <v>179</v>
      </c>
    </row>
    <row r="6" customFormat="false" ht="30" hidden="false" customHeight="true" outlineLevel="0" collapsed="false">
      <c r="A6" s="17" t="s">
        <v>56</v>
      </c>
      <c r="B6" s="14" t="n">
        <f aca="false">SUM(Данные!C10:C20)</f>
        <v>0</v>
      </c>
      <c r="C6" s="14" t="n">
        <f aca="false">SUM(Данные!D10:D20)</f>
        <v>0</v>
      </c>
      <c r="D6" s="14" t="n">
        <f aca="false">SUM(Данные!F10:F20)</f>
        <v>0</v>
      </c>
      <c r="E6" s="14" t="n">
        <f aca="false">SUM(Данные!H10:H20)</f>
        <v>0</v>
      </c>
      <c r="F6" s="18" t="n">
        <f aca="false">IFERROR(B6/MAX(E6,1),0)</f>
        <v>0</v>
      </c>
      <c r="G6" s="19" t="s">
        <v>180</v>
      </c>
    </row>
    <row r="7" customFormat="false" ht="30" hidden="false" customHeight="true" outlineLevel="0" collapsed="false">
      <c r="A7" s="17" t="s">
        <v>68</v>
      </c>
      <c r="B7" s="14" t="n">
        <f aca="false">SUM(Данные!C21:C27)</f>
        <v>0</v>
      </c>
      <c r="C7" s="14" t="n">
        <f aca="false">SUM(Данные!D21:D27)</f>
        <v>0</v>
      </c>
      <c r="D7" s="14" t="n">
        <f aca="false">SUM(Данные!F21:F27)</f>
        <v>0</v>
      </c>
      <c r="E7" s="14" t="n">
        <f aca="false">SUM(Данные!H21:H27)</f>
        <v>0</v>
      </c>
      <c r="F7" s="18" t="n">
        <f aca="false">IFERROR(B7/MAX(E7,1),0)</f>
        <v>0</v>
      </c>
      <c r="G7" s="19" t="s">
        <v>181</v>
      </c>
    </row>
    <row r="8" customFormat="false" ht="30" hidden="false" customHeight="true" outlineLevel="0" collapsed="false">
      <c r="A8" s="17" t="s">
        <v>76</v>
      </c>
      <c r="B8" s="14" t="n">
        <f aca="false">SUM(Данные!C28:C41)</f>
        <v>0</v>
      </c>
      <c r="C8" s="14" t="n">
        <f aca="false">SUM(Данные!D28:D41)</f>
        <v>0</v>
      </c>
      <c r="D8" s="14" t="n">
        <f aca="false">SUM(Данные!F28:F41)</f>
        <v>0</v>
      </c>
      <c r="E8" s="14" t="n">
        <f aca="false">SUM(Данные!H28:H41)</f>
        <v>0</v>
      </c>
      <c r="F8" s="18" t="n">
        <f aca="false">IFERROR(B8/MAX(E8,1),0)</f>
        <v>0</v>
      </c>
      <c r="G8" s="19" t="s">
        <v>182</v>
      </c>
    </row>
    <row r="9" customFormat="false" ht="30" hidden="false" customHeight="true" outlineLevel="0" collapsed="false">
      <c r="A9" s="17" t="s">
        <v>91</v>
      </c>
      <c r="B9" s="14" t="n">
        <f aca="false">SUM(Данные!C42:C50)</f>
        <v>0</v>
      </c>
      <c r="C9" s="14" t="n">
        <f aca="false">SUM(Данные!D42:D50)</f>
        <v>0</v>
      </c>
      <c r="D9" s="14" t="n">
        <f aca="false">SUM(Данные!F42:F50)</f>
        <v>0</v>
      </c>
      <c r="E9" s="14" t="n">
        <f aca="false">SUM(Данные!H42:H50)</f>
        <v>0</v>
      </c>
      <c r="F9" s="18" t="n">
        <f aca="false">IFERROR(B9/MAX(E9,1),0)</f>
        <v>0</v>
      </c>
      <c r="G9" s="19" t="s">
        <v>183</v>
      </c>
    </row>
    <row r="10" customFormat="false" ht="30" hidden="false" customHeight="true" outlineLevel="0" collapsed="false">
      <c r="A10" s="17" t="s">
        <v>101</v>
      </c>
      <c r="B10" s="14" t="n">
        <f aca="false">SUM(Данные!C51:C60)</f>
        <v>0</v>
      </c>
      <c r="C10" s="14" t="n">
        <f aca="false">SUM(Данные!D51:D60)</f>
        <v>0</v>
      </c>
      <c r="D10" s="14" t="n">
        <f aca="false">SUM(Данные!F51:F60)</f>
        <v>0</v>
      </c>
      <c r="E10" s="14" t="n">
        <f aca="false">SUM(Данные!H51:H60)</f>
        <v>0</v>
      </c>
      <c r="F10" s="18" t="n">
        <f aca="false">IFERROR(B10/MAX(E10,1),0)</f>
        <v>0</v>
      </c>
      <c r="G10" s="19" t="s">
        <v>184</v>
      </c>
    </row>
    <row r="11" customFormat="false" ht="30" hidden="false" customHeight="true" outlineLevel="0" collapsed="false">
      <c r="A11" s="17" t="s">
        <v>112</v>
      </c>
      <c r="B11" s="14" t="n">
        <f aca="false">SUM(Данные!C61:C70)</f>
        <v>0</v>
      </c>
      <c r="C11" s="14" t="n">
        <f aca="false">SUM(Данные!D61:D70)</f>
        <v>0</v>
      </c>
      <c r="D11" s="14" t="n">
        <f aca="false">SUM(Данные!F61:F70)</f>
        <v>0</v>
      </c>
      <c r="E11" s="14" t="n">
        <f aca="false">SUM(Данные!H61:H70)</f>
        <v>0</v>
      </c>
      <c r="F11" s="18" t="n">
        <f aca="false">IFERROR(B11/MAX(E11,1),0)</f>
        <v>0</v>
      </c>
      <c r="G11" s="19" t="s">
        <v>185</v>
      </c>
    </row>
    <row r="12" customFormat="false" ht="30" hidden="false" customHeight="true" outlineLevel="0" collapsed="false">
      <c r="A12" s="17" t="s">
        <v>123</v>
      </c>
      <c r="B12" s="14" t="n">
        <f aca="false">SUM(Данные!C71:C76)</f>
        <v>0</v>
      </c>
      <c r="C12" s="14" t="n">
        <f aca="false">SUM(Данные!D71:D76)</f>
        <v>0</v>
      </c>
      <c r="D12" s="14" t="n">
        <f aca="false">SUM(Данные!F71:F76)</f>
        <v>0</v>
      </c>
      <c r="E12" s="14" t="n">
        <f aca="false">SUM(Данные!H71:H76)</f>
        <v>0</v>
      </c>
      <c r="F12" s="18" t="n">
        <f aca="false">IFERROR(B12/MAX(E12,1),0)</f>
        <v>0</v>
      </c>
      <c r="G12" s="19" t="s">
        <v>186</v>
      </c>
    </row>
    <row r="13" customFormat="false" ht="30" hidden="false" customHeight="true" outlineLevel="0" collapsed="false">
      <c r="A13" s="17" t="s">
        <v>130</v>
      </c>
      <c r="B13" s="14" t="n">
        <f aca="false">SUM(Данные!C77:C81)</f>
        <v>0</v>
      </c>
      <c r="C13" s="14" t="n">
        <f aca="false">SUM(Данные!D77:D81)</f>
        <v>0</v>
      </c>
      <c r="D13" s="14" t="n">
        <f aca="false">SUM(Данные!F77:F81)</f>
        <v>0</v>
      </c>
      <c r="E13" s="14" t="n">
        <f aca="false">SUM(Данные!H77:H81)</f>
        <v>0</v>
      </c>
      <c r="F13" s="18" t="n">
        <f aca="false">IFERROR(B13/MAX(E13,1),0)</f>
        <v>0</v>
      </c>
      <c r="G13" s="19" t="s">
        <v>187</v>
      </c>
    </row>
    <row r="14" customFormat="false" ht="30" hidden="false" customHeight="true" outlineLevel="0" collapsed="false">
      <c r="A14" s="17" t="s">
        <v>136</v>
      </c>
      <c r="B14" s="14" t="n">
        <f aca="false">SUM(Данные!C82:C84)</f>
        <v>0</v>
      </c>
      <c r="C14" s="14" t="n">
        <f aca="false">SUM(Данные!D82:D84)</f>
        <v>0</v>
      </c>
      <c r="D14" s="14" t="n">
        <f aca="false">SUM(Данные!F82:F84)</f>
        <v>0</v>
      </c>
      <c r="E14" s="14" t="n">
        <f aca="false">SUM(Данные!H82:H84)</f>
        <v>0</v>
      </c>
      <c r="F14" s="18" t="n">
        <f aca="false">IFERROR(B14/MAX(E14,1),0)</f>
        <v>0</v>
      </c>
      <c r="G14" s="19" t="s">
        <v>188</v>
      </c>
    </row>
    <row r="15" customFormat="false" ht="15" hidden="false" customHeight="false" outlineLevel="0" collapsed="false">
      <c r="A15" s="20" t="s">
        <v>189</v>
      </c>
      <c r="B15" s="21" t="n">
        <f aca="false">SUM(B5:B14)</f>
        <v>0</v>
      </c>
      <c r="C15" s="21" t="n">
        <f aca="false">SUM(C5:C14)</f>
        <v>0</v>
      </c>
      <c r="D15" s="21" t="n">
        <f aca="false">SUM(D5:D14)</f>
        <v>0</v>
      </c>
      <c r="E15" s="21" t="n">
        <f aca="false">SUM(E5:E14)</f>
        <v>0</v>
      </c>
      <c r="F15" s="22"/>
      <c r="G15" s="22"/>
    </row>
    <row r="18" customFormat="false" ht="15" hidden="false" customHeight="false" outlineLevel="0" collapsed="false">
      <c r="A18" s="12" t="s">
        <v>190</v>
      </c>
    </row>
    <row r="19" customFormat="false" ht="42" hidden="false" customHeight="true" outlineLevel="0" collapsed="false">
      <c r="A19" s="6" t="s">
        <v>191</v>
      </c>
      <c r="B19" s="6" t="s">
        <v>192</v>
      </c>
      <c r="C19" s="6"/>
      <c r="D19" s="6"/>
      <c r="E19" s="6"/>
      <c r="F19" s="6"/>
      <c r="G19" s="6" t="s">
        <v>193</v>
      </c>
    </row>
    <row r="20" customFormat="false" ht="43.5" hidden="false" customHeight="true" outlineLevel="0" collapsed="false">
      <c r="A20" s="17" t="s">
        <v>194</v>
      </c>
      <c r="B20" s="14" t="n">
        <f aca="false">B5+D5</f>
        <v>0</v>
      </c>
      <c r="C20" s="10"/>
      <c r="D20" s="10"/>
      <c r="E20" s="10"/>
      <c r="F20" s="10"/>
      <c r="G20" s="19" t="str">
        <f aca="false">IF(B20&lt;300,"Категории не существует. Первый год бюджета — на её создание, перформанс не сработает. Вы заходите первым.",IF(B20&lt;1500,"Категория зарождается. Окно для захвата открыто.","Категория сформирована — проверить, кем занята."))</f>
        <v>Категории не существует. Первый год бюджета — на её создание, перформанс не сработает. Вы заходите первым.</v>
      </c>
    </row>
    <row r="21" customFormat="false" ht="43.5" hidden="false" customHeight="true" outlineLevel="0" collapsed="false">
      <c r="A21" s="17" t="s">
        <v>195</v>
      </c>
      <c r="B21" s="23" t="n">
        <f aca="false">IFERROR(B6/MAX(B5,1),0)</f>
        <v>0</v>
      </c>
      <c r="C21" s="10"/>
      <c r="D21" s="10"/>
      <c r="E21" s="10"/>
      <c r="F21" s="10"/>
      <c r="G21" s="19" t="str">
        <f aca="false">IF(B20&gt;10,"Рынок ищет дом, а не посёлок. Продавать дом, среду отдавать бонусом — иначе объявления не найдут.","Категория узнаваема, можно продавать посёлок как таковой.")</f>
        <v>Категория узнаваема, можно продавать посёлок как таковой.</v>
      </c>
    </row>
    <row r="22" customFormat="false" ht="43.5" hidden="false" customHeight="true" outlineLevel="0" collapsed="false">
      <c r="A22" s="17" t="s">
        <v>196</v>
      </c>
      <c r="B22" s="18" t="n">
        <f aca="false">IFERROR((B7+B10)/MAX(B6,1),0)</f>
        <v>0</v>
      </c>
      <c r="C22" s="10"/>
      <c r="D22" s="10"/>
      <c r="E22" s="10"/>
      <c r="F22" s="10"/>
      <c r="G22" s="19" t="str">
        <f aca="false">IF(B20&gt;1.5,"Доминирует сценарий «куплю землю и построю сам». Продукт обязан объяснять переплату к самострою.","Готовый дом — основной сценарий, переплату обосновать проще.")</f>
        <v>Готовый дом — основной сценарий, переплату обосновать проще.</v>
      </c>
    </row>
    <row r="23" customFormat="false" ht="43.5" hidden="false" customHeight="true" outlineLevel="0" collapsed="false">
      <c r="A23" s="17" t="s">
        <v>197</v>
      </c>
      <c r="B23" s="18" t="n">
        <f aca="false">IFERROR(B9/MAX(B6,1),0)</f>
        <v>0</v>
      </c>
      <c r="C23" s="10"/>
      <c r="D23" s="10"/>
      <c r="E23" s="10"/>
      <c r="F23" s="10"/>
      <c r="G23" s="19" t="str">
        <f aca="false">IF(B20&gt;0.3,"Спрос ипотечный. Ядро линейки жёстко под лимит ДВ-ипотеки: дом 11–14 млн, площадь строго от 60 кв.м.","Ипотека не драйвер — сегмент наличных, проверить ёмкость по Росреестру.")</f>
        <v>Ипотека не драйвер — сегмент наличных, проверить ёмкость по Росреестру.</v>
      </c>
    </row>
    <row r="24" customFormat="false" ht="43.5" hidden="false" customHeight="true" outlineLevel="0" collapsed="false">
      <c r="A24" s="17" t="s">
        <v>198</v>
      </c>
      <c r="B24" s="18" t="n">
        <f aca="false">IFERROR(B13/MAX(B6,1),0)</f>
        <v>0</v>
      </c>
      <c r="C24" s="10"/>
      <c r="D24" s="10"/>
      <c r="E24" s="10"/>
      <c r="F24" s="10"/>
      <c r="G24" s="19" t="str">
        <f aca="false">IF(B20&gt;1,"Деньги уезжают из региона. Главный конкурент — не посёлок, а квартира в другом городе. Ёмкость верхнего сегмента ниже расчётной.","Отток умеренный, капитал остаётся в регионе.")</f>
        <v>Отток умеренный, капитал остаётся в регионе.</v>
      </c>
    </row>
    <row r="25" customFormat="false" ht="43.5" hidden="false" customHeight="true" outlineLevel="0" collapsed="false">
      <c r="A25" s="17" t="s">
        <v>199</v>
      </c>
      <c r="B25" s="18" t="n">
        <f aca="false">IFERROR(Данные!C28/MAX(Данные!C30,1),0)</f>
        <v>0</v>
      </c>
      <c r="C25" s="10"/>
      <c r="D25" s="10"/>
      <c r="E25" s="10"/>
      <c r="F25" s="10"/>
      <c r="G25" s="19" t="str">
        <f aca="false">IF(B25&lt;0.5,"Локация вне зоны внимания рынка. Заложить бюджет и срок на её «открытие» — это отдельная статья.","Локация в поле зрения рынка.")</f>
        <v>Локация вне зоны внимания рынка. Заложить бюджет и срок на её «открытие» — это отдельная статья.</v>
      </c>
    </row>
    <row r="27" customFormat="false" ht="15" hidden="false" customHeight="false" outlineLevel="0" collapsed="false">
      <c r="A27" s="24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74"/>
  </cols>
  <sheetData>
    <row r="2" customFormat="false" ht="17.35" hidden="false" customHeight="false" outlineLevel="0" collapsed="false">
      <c r="B2" s="1" t="s">
        <v>201</v>
      </c>
    </row>
    <row r="4" customFormat="false" ht="33.75" hidden="false" customHeight="true" outlineLevel="0" collapsed="false">
      <c r="B4" s="25" t="s">
        <v>202</v>
      </c>
      <c r="C4" s="25" t="s">
        <v>203</v>
      </c>
    </row>
    <row r="5" customFormat="false" ht="33.75" hidden="false" customHeight="true" outlineLevel="0" collapsed="false">
      <c r="B5" s="26" t="s">
        <v>204</v>
      </c>
      <c r="C5" s="19" t="s">
        <v>205</v>
      </c>
    </row>
    <row r="6" customFormat="false" ht="33.75" hidden="false" customHeight="true" outlineLevel="0" collapsed="false">
      <c r="B6" s="26" t="s">
        <v>206</v>
      </c>
      <c r="C6" s="19" t="s">
        <v>207</v>
      </c>
    </row>
    <row r="7" customFormat="false" ht="33.75" hidden="false" customHeight="true" outlineLevel="0" collapsed="false">
      <c r="B7" s="26" t="s">
        <v>208</v>
      </c>
      <c r="C7" s="19" t="s">
        <v>209</v>
      </c>
    </row>
    <row r="8" customFormat="false" ht="33.75" hidden="false" customHeight="true" outlineLevel="0" collapsed="false">
      <c r="B8" s="26" t="s">
        <v>210</v>
      </c>
      <c r="C8" s="19" t="s">
        <v>211</v>
      </c>
    </row>
    <row r="9" customFormat="false" ht="33.75" hidden="false" customHeight="true" outlineLevel="0" collapsed="false">
      <c r="B9" s="26" t="s">
        <v>212</v>
      </c>
      <c r="C9" s="19" t="s">
        <v>213</v>
      </c>
    </row>
    <row r="10" customFormat="false" ht="33.75" hidden="false" customHeight="true" outlineLevel="0" collapsed="false">
      <c r="B10" s="26" t="s">
        <v>214</v>
      </c>
      <c r="C10" s="19" t="s">
        <v>215</v>
      </c>
    </row>
    <row r="11" customFormat="false" ht="33.75" hidden="false" customHeight="true" outlineLevel="0" collapsed="false">
      <c r="B11" s="26" t="s">
        <v>216</v>
      </c>
      <c r="C11" s="19" t="s">
        <v>217</v>
      </c>
    </row>
    <row r="12" customFormat="false" ht="33.75" hidden="false" customHeight="true" outlineLevel="0" collapsed="false">
      <c r="B12" s="26"/>
      <c r="C12" s="19"/>
    </row>
    <row r="13" customFormat="false" ht="15" hidden="false" customHeight="false" outlineLevel="0" collapsed="false">
      <c r="B13" s="12" t="s">
        <v>218</v>
      </c>
    </row>
    <row r="14" customFormat="false" ht="33.75" hidden="false" customHeight="true" outlineLevel="0" collapsed="false">
      <c r="B14" s="26" t="s">
        <v>219</v>
      </c>
      <c r="C14" s="19" t="s">
        <v>220</v>
      </c>
    </row>
    <row r="15" customFormat="false" ht="33.75" hidden="false" customHeight="true" outlineLevel="0" collapsed="false">
      <c r="B15" s="26" t="s">
        <v>221</v>
      </c>
      <c r="C15" s="19" t="s">
        <v>222</v>
      </c>
    </row>
    <row r="16" customFormat="false" ht="33.75" hidden="false" customHeight="true" outlineLevel="0" collapsed="false">
      <c r="B16" s="26" t="s">
        <v>223</v>
      </c>
      <c r="C16" s="19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2026-08-05T10:16:17Z</dcterms:created>
  <dc:creator>openpyxl</dc:creator>
  <dc:description/>
  <dc:language>en-US</dc:language>
  <cp:lastModifiedBy/>
  <dcterms:modified xsi:type="dcterms:W3CDTF">2026-08-05T10:16:17Z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